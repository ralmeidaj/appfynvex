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Marc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<sst xmlns="http://schemas.openxmlformats.org/spreadsheetml/2006/main" count="397" uniqueCount="214">
  <si>
    <t xml:space="preserve">CRONOGRAMA — PARCERIA FYNVEX × ABM (Departamento de Convênios)</t>
  </si>
  <si>
    <t xml:space="preserve">Gestor do projeto: Rodrigo Firpo  |  Prontidão: 11/09/2026  |  Soft opening: 14–30/09/2026  |  Lançamento oficial: 01/10/2026  |  Feriados: 07/09 e 12/10</t>
  </si>
  <si>
    <t xml:space="preserve">O Capital que Acelera sua Medicina.</t>
  </si>
  <si>
    <t xml:space="preserve">Fase</t>
  </si>
  <si>
    <t xml:space="preserve">ID</t>
  </si>
  <si>
    <t xml:space="preserve">Tarefa</t>
  </si>
  <si>
    <t xml:space="preserve">Responsável</t>
  </si>
  <si>
    <t xml:space="preserve">Setor Fynvex</t>
  </si>
  <si>
    <t xml:space="preserve">Início</t>
  </si>
  <si>
    <t xml:space="preserve">Fim</t>
  </si>
  <si>
    <t xml:space="preserve">Dias</t>
  </si>
  <si>
    <t xml:space="preserve">Status</t>
  </si>
  <si>
    <t xml:space="preserve">03/08</t>
  </si>
  <si>
    <t xml:space="preserve">10/08</t>
  </si>
  <si>
    <t xml:space="preserve">17/08</t>
  </si>
  <si>
    <t xml:space="preserve">24/08</t>
  </si>
  <si>
    <t xml:space="preserve">31/08</t>
  </si>
  <si>
    <t xml:space="preserve">07/09</t>
  </si>
  <si>
    <t xml:space="preserve">14/09</t>
  </si>
  <si>
    <t xml:space="preserve">21/09</t>
  </si>
  <si>
    <t xml:space="preserve">28/09</t>
  </si>
  <si>
    <t xml:space="preserve">05/10</t>
  </si>
  <si>
    <t xml:space="preserve">12/10</t>
  </si>
  <si>
    <t xml:space="preserve">19/10</t>
  </si>
  <si>
    <t xml:space="preserve">26/10</t>
  </si>
  <si>
    <t xml:space="preserve">02/11</t>
  </si>
  <si>
    <t xml:space="preserve">Fase 0 — Alinhamento e governança</t>
  </si>
  <si>
    <t xml:space="preserve">0.1</t>
  </si>
  <si>
    <t xml:space="preserve">Kickoff interno Fynvex (coordenação Rodrigo Firpo)</t>
  </si>
  <si>
    <t xml:space="preserve">Fynvex</t>
  </si>
  <si>
    <t xml:space="preserve">Gestor (R. Firpo)</t>
  </si>
  <si>
    <t xml:space="preserve">Em andamento</t>
  </si>
  <si>
    <t xml:space="preserve">0.2</t>
  </si>
  <si>
    <t xml:space="preserve">Kickoff conjunto com diretoria ABM e Depto. de Convênios</t>
  </si>
  <si>
    <t xml:space="preserve">Fynvex + ABM</t>
  </si>
  <si>
    <t xml:space="preserve">Gestor / Comercial</t>
  </si>
  <si>
    <t xml:space="preserve">Não iniciada</t>
  </si>
  <si>
    <t xml:space="preserve">0.3</t>
  </si>
  <si>
    <t xml:space="preserve">Kickoff técnico (plataforma DC + provedor de boletos)</t>
  </si>
  <si>
    <t xml:space="preserve">Fynvex + DC</t>
  </si>
  <si>
    <t xml:space="preserve">TI</t>
  </si>
  <si>
    <t xml:space="preserve">0.4</t>
  </si>
  <si>
    <t xml:space="preserve">Instituição do Comitê da Parceria e calendário de reuniões</t>
  </si>
  <si>
    <t xml:space="preserve">Gestor</t>
  </si>
  <si>
    <t xml:space="preserve">Fase 1 — Formalização jurídica</t>
  </si>
  <si>
    <t xml:space="preserve">1.1</t>
  </si>
  <si>
    <t xml:space="preserve">Definição do percentual de comissão (10%–15% do deságio)</t>
  </si>
  <si>
    <t xml:space="preserve">Comercial / Gestor</t>
  </si>
  <si>
    <t xml:space="preserve">1.2</t>
  </si>
  <si>
    <t xml:space="preserve">Minuta do contrato de parceria e envio à ABM</t>
  </si>
  <si>
    <t xml:space="preserve">Jurídico</t>
  </si>
  <si>
    <t xml:space="preserve">1.3</t>
  </si>
  <si>
    <t xml:space="preserve">Acordo de tratamento de dados pessoais (LGPD)</t>
  </si>
  <si>
    <t xml:space="preserve">1.4</t>
  </si>
  <si>
    <t xml:space="preserve">Revisão do contrato de cessão e termos de uso (plataforma e app)</t>
  </si>
  <si>
    <t xml:space="preserve">1.5</t>
  </si>
  <si>
    <t xml:space="preserve">Negociação e aprovação interna na ABM</t>
  </si>
  <si>
    <t xml:space="preserve">ABM</t>
  </si>
  <si>
    <t xml:space="preserve">Jurídico / Comercial</t>
  </si>
  <si>
    <t xml:space="preserve">1.6</t>
  </si>
  <si>
    <t xml:space="preserve">ASSINATURA DIGITAL DO CONTRATO DE PARCERIA</t>
  </si>
  <si>
    <t xml:space="preserve">Diretoria / Gestor</t>
  </si>
  <si>
    <t xml:space="preserve">1.7</t>
  </si>
  <si>
    <t xml:space="preserve">Contratação do arranjo de split (provedor de boletos)</t>
  </si>
  <si>
    <t xml:space="preserve">Financeiro / Jurídico</t>
  </si>
  <si>
    <t xml:space="preserve">Fase 2 — Estruturação operacional e crédito</t>
  </si>
  <si>
    <t xml:space="preserve">2.1</t>
  </si>
  <si>
    <t xml:space="preserve">Política de crédito e critérios de elegibilidade da carteira ABM</t>
  </si>
  <si>
    <t xml:space="preserve">Crédito / Risco</t>
  </si>
  <si>
    <t xml:space="preserve">2.2</t>
  </si>
  <si>
    <t xml:space="preserve">Dimensionamento de funding e cenários de volume</t>
  </si>
  <si>
    <t xml:space="preserve">Financeiro</t>
  </si>
  <si>
    <t xml:space="preserve">2.3</t>
  </si>
  <si>
    <t xml:space="preserve">Desenho do fluxo financeiro (boleto DC → split → conciliação)</t>
  </si>
  <si>
    <t xml:space="preserve">Financeiro / TI</t>
  </si>
  <si>
    <t xml:space="preserve">2.4</t>
  </si>
  <si>
    <t xml:space="preserve">Regras de apuração e modelo de prestação de contas à ABM</t>
  </si>
  <si>
    <t xml:space="preserve">2.5</t>
  </si>
  <si>
    <t xml:space="preserve">Mapeamento dos processos do Departamento de Convênios</t>
  </si>
  <si>
    <t xml:space="preserve">Operações</t>
  </si>
  <si>
    <t xml:space="preserve">2.6</t>
  </si>
  <si>
    <t xml:space="preserve">Mitigadores: notificação de devedores, registro de cessão, trava</t>
  </si>
  <si>
    <t xml:space="preserve">Jurídico / Operações</t>
  </si>
  <si>
    <t xml:space="preserve">Fase 3 — Tecnologia e integrações</t>
  </si>
  <si>
    <t xml:space="preserve">3.1</t>
  </si>
  <si>
    <t xml:space="preserve">Site institucional no ar</t>
  </si>
  <si>
    <t xml:space="preserve">Marketing / TI</t>
  </si>
  <si>
    <t xml:space="preserve">3.2</t>
  </si>
  <si>
    <t xml:space="preserve">Perfis de LinkedIn e Instagram ativos</t>
  </si>
  <si>
    <t xml:space="preserve">Marketing</t>
  </si>
  <si>
    <t xml:space="preserve">3.3</t>
  </si>
  <si>
    <t xml:space="preserve">ESPECIFICAÇÃO TÉCNICA: GESTOR CONSOLIDA E ENTREGA À TI</t>
  </si>
  <si>
    <t xml:space="preserve">Gestor / TI</t>
  </si>
  <si>
    <t xml:space="preserve">3.4</t>
  </si>
  <si>
    <t xml:space="preserve">Resolução das decisões pendentes da especificação (taxa, deságio, provedores)</t>
  </si>
  <si>
    <t xml:space="preserve">Gestor / TI / Produto</t>
  </si>
  <si>
    <t xml:space="preserve">3.5</t>
  </si>
  <si>
    <t xml:space="preserve">Congelamento do escopo do MVP do aplicativo das PJs</t>
  </si>
  <si>
    <t xml:space="preserve">TI / Produto</t>
  </si>
  <si>
    <t xml:space="preserve">3.6</t>
  </si>
  <si>
    <t xml:space="preserve">Desenvolvimento e homologação do aplicativo</t>
  </si>
  <si>
    <t xml:space="preserve">3.7</t>
  </si>
  <si>
    <t xml:space="preserve">Submissão do aplicativo às lojas (App Store / Google Play)</t>
  </si>
  <si>
    <t xml:space="preserve">3.8</t>
  </si>
  <si>
    <t xml:space="preserve">Publicação do aplicativo nas lojas</t>
  </si>
  <si>
    <t xml:space="preserve">3.9</t>
  </si>
  <si>
    <t xml:space="preserve">Especificação das integrações (DC + boletos) congelada</t>
  </si>
  <si>
    <t xml:space="preserve">3.10</t>
  </si>
  <si>
    <t xml:space="preserve">Integração com a plataforma do DC (botão de antecipação + boleto)</t>
  </si>
  <si>
    <t xml:space="preserve">3.11</t>
  </si>
  <si>
    <t xml:space="preserve">Integração com solução de boletos + split configurado (cashback ABM)</t>
  </si>
  <si>
    <t xml:space="preserve">TI / Financeiro</t>
  </si>
  <si>
    <t xml:space="preserve">3.12</t>
  </si>
  <si>
    <t xml:space="preserve">Módulo de prestação de contas no dashboard do DC</t>
  </si>
  <si>
    <t xml:space="preserve">3.13</t>
  </si>
  <si>
    <t xml:space="preserve">Validação de vínculo ABM no app Fynvex (autodeclaração × base do DC)</t>
  </si>
  <si>
    <t xml:space="preserve">TI / Operações</t>
  </si>
  <si>
    <t xml:space="preserve">3.14</t>
  </si>
  <si>
    <t xml:space="preserve">Cadastro multiparceiro (gestoras/contabilidades) e regras de comissão</t>
  </si>
  <si>
    <t xml:space="preserve">3.15</t>
  </si>
  <si>
    <t xml:space="preserve">Testes integrados ponta a ponta (app→análise→boleto→split)</t>
  </si>
  <si>
    <t xml:space="preserve">Fase 4 — Acessos, treinamento e suporte</t>
  </si>
  <si>
    <t xml:space="preserve">4.1</t>
  </si>
  <si>
    <t xml:space="preserve">Criação de acessos do DC ao sistema Fynvex</t>
  </si>
  <si>
    <t xml:space="preserve">4.2</t>
  </si>
  <si>
    <t xml:space="preserve">Treinamento da equipe do DC (inclui prestação de contas)</t>
  </si>
  <si>
    <t xml:space="preserve">Operações / Comercial</t>
  </si>
  <si>
    <t xml:space="preserve">4.3</t>
  </si>
  <si>
    <t xml:space="preserve">FAQ e roteiro de atendimento</t>
  </si>
  <si>
    <t xml:space="preserve">4.4</t>
  </si>
  <si>
    <t xml:space="preserve">Simulado operacional com a equipe do DC</t>
  </si>
  <si>
    <t xml:space="preserve">4.5</t>
  </si>
  <si>
    <t xml:space="preserve">Modelo de suporte técnico (N1 DC / N2 Fynvex, SLAs, escalonamento)</t>
  </si>
  <si>
    <t xml:space="preserve">4.6</t>
  </si>
  <si>
    <t xml:space="preserve">Implantação dos canais de suporte (WhatsApp Business, e-mail, tickets)</t>
  </si>
  <si>
    <t xml:space="preserve">Operações / TI</t>
  </si>
  <si>
    <t xml:space="preserve">4.7</t>
  </si>
  <si>
    <t xml:space="preserve">Base de conhecimento e scripts de atendimento do suporte</t>
  </si>
  <si>
    <t xml:space="preserve">Fase 5 — Marketing e comunicação</t>
  </si>
  <si>
    <t xml:space="preserve">5.1</t>
  </si>
  <si>
    <t xml:space="preserve">Estratégia e plano de campanha (mensagens, públicos, canais)</t>
  </si>
  <si>
    <t xml:space="preserve">5.2</t>
  </si>
  <si>
    <t xml:space="preserve">Produção de materiais co-branded (aprovação da ABM)</t>
  </si>
  <si>
    <t xml:space="preserve">5.3</t>
  </si>
  <si>
    <t xml:space="preserve">Pré-lançamento/teaser + depoimentos do soft opening</t>
  </si>
  <si>
    <t xml:space="preserve">5.4</t>
  </si>
  <si>
    <t xml:space="preserve">Campanha de lançamento (canais Fynvex e ABM)</t>
  </si>
  <si>
    <t xml:space="preserve">5.5</t>
  </si>
  <si>
    <t xml:space="preserve">Planejamento da ação Dia do Médico (evento ABM, condição promocional)</t>
  </si>
  <si>
    <t xml:space="preserve">Marketing / Comercial</t>
  </si>
  <si>
    <t xml:space="preserve">5.6</t>
  </si>
  <si>
    <t xml:space="preserve">AÇÃO DIA DO MÉDICO: evento ABM + campanha co-branded</t>
  </si>
  <si>
    <t xml:space="preserve">5.7</t>
  </si>
  <si>
    <t xml:space="preserve">Sustentação: casos de sucesso e conteúdo educativo</t>
  </si>
  <si>
    <t xml:space="preserve">Fase 6 — Soft opening</t>
  </si>
  <si>
    <t xml:space="preserve">6.1</t>
  </si>
  <si>
    <t xml:space="preserve">Seleção de 5–10 médicos/PJs para o grupo restrito</t>
  </si>
  <si>
    <t xml:space="preserve">DC</t>
  </si>
  <si>
    <t xml:space="preserve">Comercial</t>
  </si>
  <si>
    <t xml:space="preserve">6.2</t>
  </si>
  <si>
    <t xml:space="preserve">Operações reais assistidas (app + boleto + split)</t>
  </si>
  <si>
    <t xml:space="preserve">6.3</t>
  </si>
  <si>
    <t xml:space="preserve">Validação do cashback na conta ABM e da prestação de contas</t>
  </si>
  <si>
    <t xml:space="preserve">6.4</t>
  </si>
  <si>
    <t xml:space="preserve">Plantão de suporte reforçado (N1 DC / N2 Fynvex) no soft opening</t>
  </si>
  <si>
    <t xml:space="preserve">6.5</t>
  </si>
  <si>
    <t xml:space="preserve">Avaliação do soft opening e ajustes finais</t>
  </si>
  <si>
    <t xml:space="preserve">6.6</t>
  </si>
  <si>
    <t xml:space="preserve">GO/NO-GO DO COMITÊ</t>
  </si>
  <si>
    <t xml:space="preserve">Comitê</t>
  </si>
  <si>
    <t xml:space="preserve">Gestor / Diretoria</t>
  </si>
  <si>
    <t xml:space="preserve">Fase 7 — Lançamento e rampa</t>
  </si>
  <si>
    <t xml:space="preserve">7.1</t>
  </si>
  <si>
    <t xml:space="preserve">LANÇAMENTO OFICIAL DA OPERAÇÃO</t>
  </si>
  <si>
    <t xml:space="preserve">7.2</t>
  </si>
  <si>
    <t xml:space="preserve">Plantão de suporte reforçado nas 2 primeiras semanas pós-lançamento</t>
  </si>
  <si>
    <t xml:space="preserve">7.3</t>
  </si>
  <si>
    <t xml:space="preserve">Suporte técnico contínuo (N1 DC / N2 Fynvex) e gestão de chamados</t>
  </si>
  <si>
    <t xml:space="preserve">7.4</t>
  </si>
  <si>
    <t xml:space="preserve">Acompanhamento semanal de KPIs (volume, SLA, glosas, chamados)</t>
  </si>
  <si>
    <t xml:space="preserve">Gestor / Operações</t>
  </si>
  <si>
    <t xml:space="preserve">7.5</t>
  </si>
  <si>
    <t xml:space="preserve">Onboarding de novos parceiros (gestoras/contabilidades, ex.: Xandel)</t>
  </si>
  <si>
    <t xml:space="preserve">7.6</t>
  </si>
  <si>
    <t xml:space="preserve">Comitê de avaliação do 1º mês e metas do trimestre</t>
  </si>
  <si>
    <t xml:space="preserve">7.7</t>
  </si>
  <si>
    <t xml:space="preserve">Primeira prestação de contas mensal à ABM</t>
  </si>
  <si>
    <t xml:space="preserve">Legenda: barras coloridas = duração da tarefa na semana (coluna = semana iniciada na segunda-feira indicada). Marcos em MAIÚSCULAS/negrito. Feriados: 07/09 (Independência) e 12/10 (N. Sra. Aparecida). Coluna 'Dias' calculada por fórmula (corridos).</t>
  </si>
  <si>
    <t xml:space="preserve">Células editáveis pelo usuário: 'Status' (Não iniciada / Em andamento / Concluída / Atrasada), 'Setor Fynvex' e datas de Início/Fim. Exemplo: tarefa 0.1 marcada como 'Em andamento'.</t>
  </si>
  <si>
    <t xml:space="preserve">MARCOS PRINCIPAIS — FYNVEX × ABM  (Gestor do projeto: Rodrigo Firpo)</t>
  </si>
  <si>
    <t xml:space="preserve">Marco</t>
  </si>
  <si>
    <t xml:space="preserve">Data</t>
  </si>
  <si>
    <t xml:space="preserve">Kickoff conjunto Fynvex × ABM e kickoff técnico</t>
  </si>
  <si>
    <t xml:space="preserve">Percentual de comissão definido (10%–15% do deságio)</t>
  </si>
  <si>
    <t xml:space="preserve">Especificação técnica entregue pelo Gestor à TI</t>
  </si>
  <si>
    <t xml:space="preserve">Escopo do MVP do aplicativo congelado</t>
  </si>
  <si>
    <t xml:space="preserve">Contrato de parceria ABM assinado</t>
  </si>
  <si>
    <t xml:space="preserve">Jurídico / Diretoria</t>
  </si>
  <si>
    <t xml:space="preserve">Site, LinkedIn e Instagram no ar</t>
  </si>
  <si>
    <t xml:space="preserve">Arranjo de split contratado com o provedor de boletos</t>
  </si>
  <si>
    <t xml:space="preserve">Aplicativo submetido às lojas (App Store / Google Play)</t>
  </si>
  <si>
    <t xml:space="preserve">Integrações DC + boletos + split homologadas</t>
  </si>
  <si>
    <t xml:space="preserve">Módulo de prestação de contas entregue</t>
  </si>
  <si>
    <t xml:space="preserve">Equipe do Departamento de Convênios treinada</t>
  </si>
  <si>
    <t xml:space="preserve">Testes integrados ponta a ponta concluídos</t>
  </si>
  <si>
    <t xml:space="preserve">Estrutura de suporte técnico implantada (N1 DC / N2 Fynvex)</t>
  </si>
  <si>
    <t xml:space="preserve">PRONTIDÃO OPERACIONAL COMPLETA</t>
  </si>
  <si>
    <t xml:space="preserve">Todos</t>
  </si>
  <si>
    <t xml:space="preserve">Início do soft opening</t>
  </si>
  <si>
    <t xml:space="preserve">Go/No-Go do comitê</t>
  </si>
  <si>
    <t xml:space="preserve">LANÇAMENTO OFICIAL</t>
  </si>
  <si>
    <t xml:space="preserve">Ação Dia do Médico (evento ABM + campanha)</t>
  </si>
  <si>
    <t xml:space="preserve">Comitê de avaliação do 1º mês</t>
  </si>
  <si>
    <t xml:space="preserve">Dias até o lançamento oficial (01/10/2026), a contar de hoje: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</si>
</sst>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137"/>
      <name val="Arial"/>
      <family val="0"/>
      <charset val="1"/>
    </font>
    <font>
      <i val="true"/>
      <sz val="10"/>
      <color rgb="FF5C7899"/>
      <name val="Arial"/>
      <family val="0"/>
      <charset val="1"/>
    </font>
    <font>
      <i val="true"/>
      <sz val="9"/>
      <color rgb="FF00A3E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3"/>
      <color rgb="FF0F2137"/>
      <name val="Arial"/>
      <family val="0"/>
      <charset val="1"/>
    </font>
    <font>
      <i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2137"/>
        <bgColor rgb="FF003300"/>
      </patternFill>
    </fill>
    <fill>
      <patternFill patternType="solid">
        <fgColor rgb="FF8A99A8"/>
        <bgColor rgb="FF808080"/>
      </patternFill>
    </fill>
    <fill>
      <patternFill patternType="solid">
        <fgColor rgb="FFFFF2CC"/>
        <bgColor rgb="FFEFF4F8"/>
      </patternFill>
    </fill>
    <fill>
      <patternFill patternType="solid">
        <fgColor rgb="FF124B9A"/>
        <bgColor rgb="FF063D5E"/>
      </patternFill>
    </fill>
    <fill>
      <patternFill patternType="solid">
        <fgColor rgb="FF1B75BB"/>
        <bgColor rgb="FF0B7C9E"/>
      </patternFill>
    </fill>
    <fill>
      <patternFill patternType="solid">
        <fgColor rgb="FF00A3E4"/>
        <bgColor rgb="FF0B7C9E"/>
      </patternFill>
    </fill>
    <fill>
      <patternFill patternType="solid">
        <fgColor rgb="FF5C7899"/>
        <bgColor rgb="FF808080"/>
      </patternFill>
    </fill>
    <fill>
      <patternFill patternType="solid">
        <fgColor rgb="FF0B7C9E"/>
        <bgColor rgb="FF008080"/>
      </patternFill>
    </fill>
    <fill>
      <patternFill patternType="solid">
        <fgColor rgb="FF063D5E"/>
        <bgColor rgb="FF124B9A"/>
      </patternFill>
    </fill>
    <fill>
      <patternFill patternType="solid">
        <fgColor rgb="FFEFF4F8"/>
        <bgColor rgb="FFDFF3F7"/>
      </patternFill>
    </fill>
    <fill>
      <patternFill patternType="solid">
        <fgColor rgb="FFDFF3F7"/>
        <bgColor rgb="FFEF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C9E"/>
      <rgbColor rgb="FFC0C0C0"/>
      <rgbColor rgb="FF808080"/>
      <rgbColor rgb="FF9999FF"/>
      <rgbColor rgb="FF993366"/>
      <rgbColor rgb="FFFFF2CC"/>
      <rgbColor rgb="FFDFF3F7"/>
      <rgbColor rgb="FF660066"/>
      <rgbColor rgb="FFFF8080"/>
      <rgbColor rgb="FF1B75BB"/>
      <rgbColor rgb="FFC9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3E4"/>
      <rgbColor rgb="FFEFF4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899"/>
      <rgbColor rgb="FF8A99A8"/>
      <rgbColor rgb="FF063D5E"/>
      <rgbColor rgb="FF339966"/>
      <rgbColor rgb="FF003300"/>
      <rgbColor rgb="FF555555"/>
      <rgbColor rgb="FF993300"/>
      <rgbColor rgb="FF993366"/>
      <rgbColor rgb="FF124B9A"/>
      <rgbColor rgb="FF0F21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403560</xdr:colOff>
      <xdr:row>1</xdr:row>
      <xdr:rowOff>161640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685440" cy="409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6</xdr:col>
      <xdr:colOff>198000</xdr:colOff>
      <xdr:row>2</xdr:row>
      <xdr:rowOff>89640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8012520" y="0"/>
          <a:ext cx="809280" cy="485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23" min="10" style="0" width="3.4"/>
  </cols>
  <sheetData>
    <row r="1" customFormat="false" ht="19.5" hidden="false" customHeight="true" outlineLevel="0" collapsed="false">
      <c r="C1" s="1" t="s">
        <v>0</v>
      </c>
    </row>
    <row r="2" customFormat="false" ht="18" hidden="false" customHeight="true" outlineLevel="0" collapsed="false">
      <c r="C2" s="2" t="s">
        <v>1</v>
      </c>
    </row>
    <row r="3" customFormat="false" ht="15.75" hidden="false" customHeight="true" outlineLevel="0" collapsed="false">
      <c r="C3" s="3" t="s">
        <v>2</v>
      </c>
    </row>
    <row r="4" customFormat="false" ht="21.6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customFormat="false" ht="15" hidden="false" customHeight="false" outlineLevel="0" collapsed="false">
      <c r="A5" s="6" t="s">
        <v>26</v>
      </c>
      <c r="B5" s="6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5" hidden="false" customHeight="false" outlineLevel="0" collapsed="false">
      <c r="A6" s="8"/>
      <c r="B6" s="9" t="s">
        <v>27</v>
      </c>
      <c r="C6" s="10" t="s">
        <v>28</v>
      </c>
      <c r="D6" s="8" t="s">
        <v>29</v>
      </c>
      <c r="E6" s="10" t="s">
        <v>30</v>
      </c>
      <c r="F6" s="11" t="n">
        <v>46239</v>
      </c>
      <c r="G6" s="11" t="n">
        <v>46241</v>
      </c>
      <c r="H6" s="9" t="n">
        <f aca="false">G6-F6+1</f>
        <v>3</v>
      </c>
      <c r="I6" s="12" t="s">
        <v>31</v>
      </c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customFormat="false" ht="15" hidden="false" customHeight="false" outlineLevel="0" collapsed="false">
      <c r="A7" s="8"/>
      <c r="B7" s="9" t="s">
        <v>32</v>
      </c>
      <c r="C7" s="10" t="s">
        <v>33</v>
      </c>
      <c r="D7" s="8" t="s">
        <v>34</v>
      </c>
      <c r="E7" s="10" t="s">
        <v>35</v>
      </c>
      <c r="F7" s="11" t="n">
        <v>46244</v>
      </c>
      <c r="G7" s="11" t="n">
        <v>46248</v>
      </c>
      <c r="H7" s="9" t="n">
        <f aca="false">G7-F7+1</f>
        <v>5</v>
      </c>
      <c r="I7" s="9" t="s">
        <v>36</v>
      </c>
      <c r="J7" s="14"/>
      <c r="K7" s="1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customFormat="false" ht="15" hidden="false" customHeight="false" outlineLevel="0" collapsed="false">
      <c r="A8" s="8"/>
      <c r="B8" s="9" t="s">
        <v>37</v>
      </c>
      <c r="C8" s="10" t="s">
        <v>38</v>
      </c>
      <c r="D8" s="8" t="s">
        <v>39</v>
      </c>
      <c r="E8" s="10" t="s">
        <v>40</v>
      </c>
      <c r="F8" s="11" t="n">
        <v>46244</v>
      </c>
      <c r="G8" s="11" t="n">
        <v>46248</v>
      </c>
      <c r="H8" s="9" t="n">
        <f aca="false">G8-F8+1</f>
        <v>5</v>
      </c>
      <c r="I8" s="9" t="s">
        <v>36</v>
      </c>
      <c r="J8" s="14"/>
      <c r="K8" s="1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customFormat="false" ht="15" hidden="false" customHeight="false" outlineLevel="0" collapsed="false">
      <c r="A9" s="8"/>
      <c r="B9" s="9" t="s">
        <v>41</v>
      </c>
      <c r="C9" s="10" t="s">
        <v>42</v>
      </c>
      <c r="D9" s="8" t="s">
        <v>34</v>
      </c>
      <c r="E9" s="10" t="s">
        <v>43</v>
      </c>
      <c r="F9" s="11" t="n">
        <v>46248</v>
      </c>
      <c r="G9" s="11" t="n">
        <v>46248</v>
      </c>
      <c r="H9" s="9" t="n">
        <f aca="false">G9-F9+1</f>
        <v>1</v>
      </c>
      <c r="I9" s="9" t="s">
        <v>36</v>
      </c>
      <c r="J9" s="14"/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customFormat="false" ht="15" hidden="false" customHeight="false" outlineLevel="0" collapsed="false">
      <c r="A10" s="15" t="s">
        <v>44</v>
      </c>
      <c r="B10" s="15"/>
      <c r="C10" s="15"/>
      <c r="D10" s="15"/>
      <c r="E10" s="15"/>
      <c r="F10" s="15"/>
      <c r="G10" s="15"/>
      <c r="H10" s="15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customFormat="false" ht="15" hidden="false" customHeight="false" outlineLevel="0" collapsed="false">
      <c r="A11" s="8"/>
      <c r="B11" s="9" t="s">
        <v>45</v>
      </c>
      <c r="C11" s="10" t="s">
        <v>46</v>
      </c>
      <c r="D11" s="8" t="s">
        <v>34</v>
      </c>
      <c r="E11" s="10" t="s">
        <v>47</v>
      </c>
      <c r="F11" s="11" t="n">
        <v>46244</v>
      </c>
      <c r="G11" s="11" t="n">
        <v>46248</v>
      </c>
      <c r="H11" s="9" t="n">
        <f aca="false">G11-F11+1</f>
        <v>5</v>
      </c>
      <c r="I11" s="9" t="s">
        <v>36</v>
      </c>
      <c r="J11" s="14"/>
      <c r="K11" s="17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customFormat="false" ht="15" hidden="false" customHeight="false" outlineLevel="0" collapsed="false">
      <c r="A12" s="8"/>
      <c r="B12" s="9" t="s">
        <v>48</v>
      </c>
      <c r="C12" s="10" t="s">
        <v>49</v>
      </c>
      <c r="D12" s="8" t="s">
        <v>29</v>
      </c>
      <c r="E12" s="10" t="s">
        <v>50</v>
      </c>
      <c r="F12" s="11" t="n">
        <v>46244</v>
      </c>
      <c r="G12" s="11" t="n">
        <v>46251</v>
      </c>
      <c r="H12" s="9" t="n">
        <f aca="false">G12-F12+1</f>
        <v>8</v>
      </c>
      <c r="I12" s="9" t="s">
        <v>36</v>
      </c>
      <c r="J12" s="14"/>
      <c r="K12" s="17"/>
      <c r="L12" s="17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customFormat="false" ht="15" hidden="false" customHeight="false" outlineLevel="0" collapsed="false">
      <c r="A13" s="8"/>
      <c r="B13" s="9" t="s">
        <v>51</v>
      </c>
      <c r="C13" s="10" t="s">
        <v>52</v>
      </c>
      <c r="D13" s="8" t="s">
        <v>29</v>
      </c>
      <c r="E13" s="10" t="s">
        <v>50</v>
      </c>
      <c r="F13" s="11" t="n">
        <v>46244</v>
      </c>
      <c r="G13" s="11" t="n">
        <v>46255</v>
      </c>
      <c r="H13" s="9" t="n">
        <f aca="false">G13-F13+1</f>
        <v>12</v>
      </c>
      <c r="I13" s="9" t="s">
        <v>36</v>
      </c>
      <c r="J13" s="14"/>
      <c r="K13" s="17"/>
      <c r="L13" s="17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customFormat="false" ht="15" hidden="false" customHeight="false" outlineLevel="0" collapsed="false">
      <c r="A14" s="8"/>
      <c r="B14" s="9" t="s">
        <v>53</v>
      </c>
      <c r="C14" s="10" t="s">
        <v>54</v>
      </c>
      <c r="D14" s="8" t="s">
        <v>29</v>
      </c>
      <c r="E14" s="10" t="s">
        <v>50</v>
      </c>
      <c r="F14" s="11" t="n">
        <v>46244</v>
      </c>
      <c r="G14" s="11" t="n">
        <v>46262</v>
      </c>
      <c r="H14" s="9" t="n">
        <f aca="false">G14-F14+1</f>
        <v>19</v>
      </c>
      <c r="I14" s="9" t="s">
        <v>36</v>
      </c>
      <c r="J14" s="14"/>
      <c r="K14" s="17"/>
      <c r="L14" s="17"/>
      <c r="M14" s="17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customFormat="false" ht="15" hidden="false" customHeight="false" outlineLevel="0" collapsed="false">
      <c r="A15" s="8"/>
      <c r="B15" s="9" t="s">
        <v>55</v>
      </c>
      <c r="C15" s="10" t="s">
        <v>56</v>
      </c>
      <c r="D15" s="8" t="s">
        <v>57</v>
      </c>
      <c r="E15" s="10" t="s">
        <v>58</v>
      </c>
      <c r="F15" s="11" t="n">
        <v>46251</v>
      </c>
      <c r="G15" s="11" t="n">
        <v>46260</v>
      </c>
      <c r="H15" s="9" t="n">
        <f aca="false">G15-F15+1</f>
        <v>10</v>
      </c>
      <c r="I15" s="9" t="s">
        <v>36</v>
      </c>
      <c r="J15" s="14"/>
      <c r="K15" s="14"/>
      <c r="L15" s="17"/>
      <c r="M15" s="17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customFormat="false" ht="15" hidden="false" customHeight="false" outlineLevel="0" collapsed="false">
      <c r="A16" s="18"/>
      <c r="B16" s="19" t="s">
        <v>59</v>
      </c>
      <c r="C16" s="20" t="s">
        <v>60</v>
      </c>
      <c r="D16" s="18" t="s">
        <v>34</v>
      </c>
      <c r="E16" s="20" t="s">
        <v>61</v>
      </c>
      <c r="F16" s="21" t="n">
        <v>46262</v>
      </c>
      <c r="G16" s="21" t="n">
        <v>46262</v>
      </c>
      <c r="H16" s="19" t="n">
        <f aca="false">G16-F16+1</f>
        <v>1</v>
      </c>
      <c r="I16" s="19" t="s">
        <v>36</v>
      </c>
      <c r="J16" s="14"/>
      <c r="K16" s="14"/>
      <c r="L16" s="14"/>
      <c r="M16" s="17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customFormat="false" ht="15" hidden="false" customHeight="false" outlineLevel="0" collapsed="false">
      <c r="A17" s="8"/>
      <c r="B17" s="9" t="s">
        <v>62</v>
      </c>
      <c r="C17" s="10" t="s">
        <v>63</v>
      </c>
      <c r="D17" s="8" t="s">
        <v>29</v>
      </c>
      <c r="E17" s="10" t="s">
        <v>64</v>
      </c>
      <c r="F17" s="11" t="n">
        <v>46251</v>
      </c>
      <c r="G17" s="11" t="n">
        <v>46262</v>
      </c>
      <c r="H17" s="9" t="n">
        <f aca="false">G17-F17+1</f>
        <v>12</v>
      </c>
      <c r="I17" s="9" t="s">
        <v>36</v>
      </c>
      <c r="J17" s="14"/>
      <c r="K17" s="14"/>
      <c r="L17" s="17"/>
      <c r="M17" s="17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customFormat="false" ht="15" hidden="false" customHeight="false" outlineLevel="0" collapsed="false">
      <c r="A18" s="22" t="s">
        <v>65</v>
      </c>
      <c r="B18" s="22"/>
      <c r="C18" s="22"/>
      <c r="D18" s="22"/>
      <c r="E18" s="22"/>
      <c r="F18" s="22"/>
      <c r="G18" s="22"/>
      <c r="H18" s="22"/>
      <c r="I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customFormat="false" ht="15" hidden="false" customHeight="false" outlineLevel="0" collapsed="false">
      <c r="A19" s="8"/>
      <c r="B19" s="9" t="s">
        <v>66</v>
      </c>
      <c r="C19" s="10" t="s">
        <v>67</v>
      </c>
      <c r="D19" s="8" t="s">
        <v>29</v>
      </c>
      <c r="E19" s="10" t="s">
        <v>68</v>
      </c>
      <c r="F19" s="11" t="n">
        <v>46244</v>
      </c>
      <c r="G19" s="11" t="n">
        <v>46255</v>
      </c>
      <c r="H19" s="9" t="n">
        <f aca="false">G19-F19+1</f>
        <v>12</v>
      </c>
      <c r="I19" s="9" t="s">
        <v>36</v>
      </c>
      <c r="J19" s="14"/>
      <c r="K19" s="24"/>
      <c r="L19" s="2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customFormat="false" ht="15" hidden="false" customHeight="false" outlineLevel="0" collapsed="false">
      <c r="A20" s="8"/>
      <c r="B20" s="9" t="s">
        <v>69</v>
      </c>
      <c r="C20" s="10" t="s">
        <v>70</v>
      </c>
      <c r="D20" s="8" t="s">
        <v>29</v>
      </c>
      <c r="E20" s="10" t="s">
        <v>71</v>
      </c>
      <c r="F20" s="11" t="n">
        <v>46251</v>
      </c>
      <c r="G20" s="11" t="n">
        <v>46262</v>
      </c>
      <c r="H20" s="9" t="n">
        <f aca="false">G20-F20+1</f>
        <v>12</v>
      </c>
      <c r="I20" s="9" t="s">
        <v>36</v>
      </c>
      <c r="J20" s="14"/>
      <c r="K20" s="14"/>
      <c r="L20" s="24"/>
      <c r="M20" s="2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customFormat="false" ht="15" hidden="false" customHeight="false" outlineLevel="0" collapsed="false">
      <c r="A21" s="8"/>
      <c r="B21" s="9" t="s">
        <v>72</v>
      </c>
      <c r="C21" s="10" t="s">
        <v>73</v>
      </c>
      <c r="D21" s="8" t="s">
        <v>39</v>
      </c>
      <c r="E21" s="10" t="s">
        <v>74</v>
      </c>
      <c r="F21" s="11" t="n">
        <v>46251</v>
      </c>
      <c r="G21" s="11" t="n">
        <v>46262</v>
      </c>
      <c r="H21" s="9" t="n">
        <f aca="false">G21-F21+1</f>
        <v>12</v>
      </c>
      <c r="I21" s="9" t="s">
        <v>36</v>
      </c>
      <c r="J21" s="14"/>
      <c r="K21" s="14"/>
      <c r="L21" s="24"/>
      <c r="M21" s="2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customFormat="false" ht="15" hidden="false" customHeight="false" outlineLevel="0" collapsed="false">
      <c r="A22" s="8"/>
      <c r="B22" s="9" t="s">
        <v>75</v>
      </c>
      <c r="C22" s="10" t="s">
        <v>76</v>
      </c>
      <c r="D22" s="8" t="s">
        <v>34</v>
      </c>
      <c r="E22" s="10" t="s">
        <v>71</v>
      </c>
      <c r="F22" s="11" t="n">
        <v>46258</v>
      </c>
      <c r="G22" s="11" t="n">
        <v>46269</v>
      </c>
      <c r="H22" s="9" t="n">
        <f aca="false">G22-F22+1</f>
        <v>12</v>
      </c>
      <c r="I22" s="9" t="s">
        <v>36</v>
      </c>
      <c r="J22" s="14"/>
      <c r="K22" s="14"/>
      <c r="L22" s="14"/>
      <c r="M22" s="24"/>
      <c r="N22" s="24"/>
      <c r="O22" s="14"/>
      <c r="P22" s="14"/>
      <c r="Q22" s="14"/>
      <c r="R22" s="14"/>
      <c r="S22" s="14"/>
      <c r="T22" s="14"/>
      <c r="U22" s="14"/>
      <c r="V22" s="14"/>
      <c r="W22" s="14"/>
    </row>
    <row r="23" customFormat="false" ht="15" hidden="false" customHeight="false" outlineLevel="0" collapsed="false">
      <c r="A23" s="8"/>
      <c r="B23" s="9" t="s">
        <v>77</v>
      </c>
      <c r="C23" s="10" t="s">
        <v>78</v>
      </c>
      <c r="D23" s="8" t="s">
        <v>39</v>
      </c>
      <c r="E23" s="10" t="s">
        <v>79</v>
      </c>
      <c r="F23" s="11" t="n">
        <v>46244</v>
      </c>
      <c r="G23" s="11" t="n">
        <v>46255</v>
      </c>
      <c r="H23" s="9" t="n">
        <f aca="false">G23-F23+1</f>
        <v>12</v>
      </c>
      <c r="I23" s="9" t="s">
        <v>36</v>
      </c>
      <c r="J23" s="14"/>
      <c r="K23" s="24"/>
      <c r="L23" s="2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customFormat="false" ht="15" hidden="false" customHeight="false" outlineLevel="0" collapsed="false">
      <c r="A24" s="8"/>
      <c r="B24" s="9" t="s">
        <v>80</v>
      </c>
      <c r="C24" s="10" t="s">
        <v>81</v>
      </c>
      <c r="D24" s="8" t="s">
        <v>29</v>
      </c>
      <c r="E24" s="10" t="s">
        <v>82</v>
      </c>
      <c r="F24" s="11" t="n">
        <v>46258</v>
      </c>
      <c r="G24" s="11" t="n">
        <v>46269</v>
      </c>
      <c r="H24" s="9" t="n">
        <f aca="false">G24-F24+1</f>
        <v>12</v>
      </c>
      <c r="I24" s="9" t="s">
        <v>36</v>
      </c>
      <c r="J24" s="14"/>
      <c r="K24" s="14"/>
      <c r="L24" s="14"/>
      <c r="M24" s="24"/>
      <c r="N24" s="24"/>
      <c r="O24" s="14"/>
      <c r="P24" s="14"/>
      <c r="Q24" s="14"/>
      <c r="R24" s="14"/>
      <c r="S24" s="14"/>
      <c r="T24" s="14"/>
      <c r="U24" s="14"/>
      <c r="V24" s="14"/>
      <c r="W24" s="14"/>
    </row>
    <row r="25" customFormat="false" ht="15" hidden="false" customHeight="false" outlineLevel="0" collapsed="false">
      <c r="A25" s="25" t="s">
        <v>83</v>
      </c>
      <c r="B25" s="25"/>
      <c r="C25" s="25"/>
      <c r="D25" s="25"/>
      <c r="E25" s="25"/>
      <c r="F25" s="25"/>
      <c r="G25" s="25"/>
      <c r="H25" s="25"/>
      <c r="I25" s="25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customFormat="false" ht="15" hidden="false" customHeight="false" outlineLevel="0" collapsed="false">
      <c r="A26" s="8"/>
      <c r="B26" s="9" t="s">
        <v>84</v>
      </c>
      <c r="C26" s="10" t="s">
        <v>85</v>
      </c>
      <c r="D26" s="8" t="s">
        <v>29</v>
      </c>
      <c r="E26" s="10" t="s">
        <v>86</v>
      </c>
      <c r="F26" s="11" t="n">
        <v>46244</v>
      </c>
      <c r="G26" s="11" t="n">
        <v>46262</v>
      </c>
      <c r="H26" s="9" t="n">
        <f aca="false">G26-F26+1</f>
        <v>19</v>
      </c>
      <c r="I26" s="9" t="s">
        <v>36</v>
      </c>
      <c r="J26" s="14"/>
      <c r="K26" s="27"/>
      <c r="L26" s="27"/>
      <c r="M26" s="27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customFormat="false" ht="15" hidden="false" customHeight="false" outlineLevel="0" collapsed="false">
      <c r="A27" s="8"/>
      <c r="B27" s="9" t="s">
        <v>87</v>
      </c>
      <c r="C27" s="10" t="s">
        <v>88</v>
      </c>
      <c r="D27" s="8" t="s">
        <v>29</v>
      </c>
      <c r="E27" s="10" t="s">
        <v>89</v>
      </c>
      <c r="F27" s="11" t="n">
        <v>46244</v>
      </c>
      <c r="G27" s="11" t="n">
        <v>46262</v>
      </c>
      <c r="H27" s="9" t="n">
        <f aca="false">G27-F27+1</f>
        <v>19</v>
      </c>
      <c r="I27" s="9" t="s">
        <v>36</v>
      </c>
      <c r="J27" s="14"/>
      <c r="K27" s="27"/>
      <c r="L27" s="27"/>
      <c r="M27" s="27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customFormat="false" ht="23.85" hidden="false" customHeight="false" outlineLevel="0" collapsed="false">
      <c r="A28" s="18"/>
      <c r="B28" s="19" t="s">
        <v>90</v>
      </c>
      <c r="C28" s="20" t="s">
        <v>91</v>
      </c>
      <c r="D28" s="18" t="s">
        <v>29</v>
      </c>
      <c r="E28" s="20" t="s">
        <v>92</v>
      </c>
      <c r="F28" s="21" t="n">
        <v>46244</v>
      </c>
      <c r="G28" s="21" t="n">
        <v>46248</v>
      </c>
      <c r="H28" s="19" t="n">
        <f aca="false">G28-F28+1</f>
        <v>5</v>
      </c>
      <c r="I28" s="19" t="s">
        <v>36</v>
      </c>
      <c r="J28" s="14"/>
      <c r="K28" s="27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customFormat="false" ht="23.85" hidden="false" customHeight="false" outlineLevel="0" collapsed="false">
      <c r="A29" s="8"/>
      <c r="B29" s="9" t="s">
        <v>93</v>
      </c>
      <c r="C29" s="10" t="s">
        <v>94</v>
      </c>
      <c r="D29" s="8" t="s">
        <v>29</v>
      </c>
      <c r="E29" s="10" t="s">
        <v>95</v>
      </c>
      <c r="F29" s="11" t="n">
        <v>46244</v>
      </c>
      <c r="G29" s="11" t="n">
        <v>46248</v>
      </c>
      <c r="H29" s="9" t="n">
        <f aca="false">G29-F29+1</f>
        <v>5</v>
      </c>
      <c r="I29" s="9" t="s">
        <v>36</v>
      </c>
      <c r="J29" s="14"/>
      <c r="K29" s="27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customFormat="false" ht="15" hidden="false" customHeight="false" outlineLevel="0" collapsed="false">
      <c r="A30" s="8"/>
      <c r="B30" s="9" t="s">
        <v>96</v>
      </c>
      <c r="C30" s="10" t="s">
        <v>97</v>
      </c>
      <c r="D30" s="8" t="s">
        <v>29</v>
      </c>
      <c r="E30" s="10" t="s">
        <v>98</v>
      </c>
      <c r="F30" s="11" t="n">
        <v>46244</v>
      </c>
      <c r="G30" s="11" t="n">
        <v>46248</v>
      </c>
      <c r="H30" s="9" t="n">
        <f aca="false">G30-F30+1</f>
        <v>5</v>
      </c>
      <c r="I30" s="9" t="s">
        <v>36</v>
      </c>
      <c r="J30" s="14"/>
      <c r="K30" s="27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customFormat="false" ht="15" hidden="false" customHeight="false" outlineLevel="0" collapsed="false">
      <c r="A31" s="8"/>
      <c r="B31" s="9" t="s">
        <v>99</v>
      </c>
      <c r="C31" s="10" t="s">
        <v>100</v>
      </c>
      <c r="D31" s="8" t="s">
        <v>29</v>
      </c>
      <c r="E31" s="10" t="s">
        <v>40</v>
      </c>
      <c r="F31" s="11" t="n">
        <v>46251</v>
      </c>
      <c r="G31" s="11" t="n">
        <v>46262</v>
      </c>
      <c r="H31" s="9" t="n">
        <f aca="false">G31-F31+1</f>
        <v>12</v>
      </c>
      <c r="I31" s="9" t="s">
        <v>36</v>
      </c>
      <c r="J31" s="14"/>
      <c r="K31" s="14"/>
      <c r="L31" s="27"/>
      <c r="M31" s="27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customFormat="false" ht="15" hidden="false" customHeight="false" outlineLevel="0" collapsed="false">
      <c r="A32" s="8"/>
      <c r="B32" s="9" t="s">
        <v>101</v>
      </c>
      <c r="C32" s="10" t="s">
        <v>102</v>
      </c>
      <c r="D32" s="8" t="s">
        <v>29</v>
      </c>
      <c r="E32" s="10" t="s">
        <v>40</v>
      </c>
      <c r="F32" s="11" t="n">
        <v>46266</v>
      </c>
      <c r="G32" s="11" t="n">
        <v>46266</v>
      </c>
      <c r="H32" s="9" t="n">
        <f aca="false">G32-F32+1</f>
        <v>1</v>
      </c>
      <c r="I32" s="9" t="s">
        <v>36</v>
      </c>
      <c r="J32" s="14"/>
      <c r="K32" s="14"/>
      <c r="L32" s="14"/>
      <c r="M32" s="14"/>
      <c r="N32" s="27"/>
      <c r="O32" s="14"/>
      <c r="P32" s="14"/>
      <c r="Q32" s="14"/>
      <c r="R32" s="14"/>
      <c r="S32" s="14"/>
      <c r="T32" s="14"/>
      <c r="U32" s="14"/>
      <c r="V32" s="14"/>
      <c r="W32" s="14"/>
    </row>
    <row r="33" customFormat="false" ht="15" hidden="false" customHeight="false" outlineLevel="0" collapsed="false">
      <c r="A33" s="8"/>
      <c r="B33" s="9" t="s">
        <v>103</v>
      </c>
      <c r="C33" s="10" t="s">
        <v>104</v>
      </c>
      <c r="D33" s="8" t="s">
        <v>29</v>
      </c>
      <c r="E33" s="10" t="s">
        <v>40</v>
      </c>
      <c r="F33" s="11" t="n">
        <v>46267</v>
      </c>
      <c r="G33" s="11" t="n">
        <v>46276</v>
      </c>
      <c r="H33" s="9" t="n">
        <f aca="false">G33-F33+1</f>
        <v>10</v>
      </c>
      <c r="I33" s="9" t="s">
        <v>36</v>
      </c>
      <c r="J33" s="14"/>
      <c r="K33" s="14"/>
      <c r="L33" s="14"/>
      <c r="M33" s="14"/>
      <c r="N33" s="27"/>
      <c r="O33" s="27"/>
      <c r="P33" s="14"/>
      <c r="Q33" s="14"/>
      <c r="R33" s="14"/>
      <c r="S33" s="14"/>
      <c r="T33" s="14"/>
      <c r="U33" s="14"/>
      <c r="V33" s="14"/>
      <c r="W33" s="14"/>
    </row>
    <row r="34" customFormat="false" ht="15" hidden="false" customHeight="false" outlineLevel="0" collapsed="false">
      <c r="A34" s="8"/>
      <c r="B34" s="9" t="s">
        <v>105</v>
      </c>
      <c r="C34" s="10" t="s">
        <v>106</v>
      </c>
      <c r="D34" s="8" t="s">
        <v>39</v>
      </c>
      <c r="E34" s="10" t="s">
        <v>40</v>
      </c>
      <c r="F34" s="11" t="n">
        <v>46244</v>
      </c>
      <c r="G34" s="11" t="n">
        <v>46255</v>
      </c>
      <c r="H34" s="9" t="n">
        <f aca="false">G34-F34+1</f>
        <v>12</v>
      </c>
      <c r="I34" s="9" t="s">
        <v>36</v>
      </c>
      <c r="J34" s="14"/>
      <c r="K34" s="27"/>
      <c r="L34" s="27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customFormat="false" ht="15" hidden="false" customHeight="false" outlineLevel="0" collapsed="false">
      <c r="A35" s="8"/>
      <c r="B35" s="9" t="s">
        <v>107</v>
      </c>
      <c r="C35" s="10" t="s">
        <v>108</v>
      </c>
      <c r="D35" s="8" t="s">
        <v>39</v>
      </c>
      <c r="E35" s="10" t="s">
        <v>40</v>
      </c>
      <c r="F35" s="11" t="n">
        <v>46258</v>
      </c>
      <c r="G35" s="11" t="n">
        <v>46269</v>
      </c>
      <c r="H35" s="9" t="n">
        <f aca="false">G35-F35+1</f>
        <v>12</v>
      </c>
      <c r="I35" s="9" t="s">
        <v>36</v>
      </c>
      <c r="J35" s="14"/>
      <c r="K35" s="14"/>
      <c r="L35" s="14"/>
      <c r="M35" s="27"/>
      <c r="N35" s="27"/>
      <c r="O35" s="14"/>
      <c r="P35" s="14"/>
      <c r="Q35" s="14"/>
      <c r="R35" s="14"/>
      <c r="S35" s="14"/>
      <c r="T35" s="14"/>
      <c r="U35" s="14"/>
      <c r="V35" s="14"/>
      <c r="W35" s="14"/>
    </row>
    <row r="36" customFormat="false" ht="15" hidden="false" customHeight="false" outlineLevel="0" collapsed="false">
      <c r="A36" s="8"/>
      <c r="B36" s="9" t="s">
        <v>109</v>
      </c>
      <c r="C36" s="10" t="s">
        <v>110</v>
      </c>
      <c r="D36" s="8" t="s">
        <v>29</v>
      </c>
      <c r="E36" s="10" t="s">
        <v>111</v>
      </c>
      <c r="F36" s="11" t="n">
        <v>46258</v>
      </c>
      <c r="G36" s="11" t="n">
        <v>46269</v>
      </c>
      <c r="H36" s="9" t="n">
        <f aca="false">G36-F36+1</f>
        <v>12</v>
      </c>
      <c r="I36" s="9" t="s">
        <v>36</v>
      </c>
      <c r="J36" s="14"/>
      <c r="K36" s="14"/>
      <c r="L36" s="14"/>
      <c r="M36" s="27"/>
      <c r="N36" s="27"/>
      <c r="O36" s="14"/>
      <c r="P36" s="14"/>
      <c r="Q36" s="14"/>
      <c r="R36" s="14"/>
      <c r="S36" s="14"/>
      <c r="T36" s="14"/>
      <c r="U36" s="14"/>
      <c r="V36" s="14"/>
      <c r="W36" s="14"/>
    </row>
    <row r="37" customFormat="false" ht="15" hidden="false" customHeight="false" outlineLevel="0" collapsed="false">
      <c r="A37" s="8"/>
      <c r="B37" s="9" t="s">
        <v>112</v>
      </c>
      <c r="C37" s="10" t="s">
        <v>113</v>
      </c>
      <c r="D37" s="8" t="s">
        <v>29</v>
      </c>
      <c r="E37" s="10" t="s">
        <v>40</v>
      </c>
      <c r="F37" s="11" t="n">
        <v>46258</v>
      </c>
      <c r="G37" s="11" t="n">
        <v>46269</v>
      </c>
      <c r="H37" s="9" t="n">
        <f aca="false">G37-F37+1</f>
        <v>12</v>
      </c>
      <c r="I37" s="9" t="s">
        <v>36</v>
      </c>
      <c r="J37" s="14"/>
      <c r="K37" s="14"/>
      <c r="L37" s="14"/>
      <c r="M37" s="27"/>
      <c r="N37" s="27"/>
      <c r="O37" s="14"/>
      <c r="P37" s="14"/>
      <c r="Q37" s="14"/>
      <c r="R37" s="14"/>
      <c r="S37" s="14"/>
      <c r="T37" s="14"/>
      <c r="U37" s="14"/>
      <c r="V37" s="14"/>
      <c r="W37" s="14"/>
    </row>
    <row r="38" customFormat="false" ht="23.85" hidden="false" customHeight="false" outlineLevel="0" collapsed="false">
      <c r="A38" s="8"/>
      <c r="B38" s="9" t="s">
        <v>114</v>
      </c>
      <c r="C38" s="10" t="s">
        <v>115</v>
      </c>
      <c r="D38" s="8" t="s">
        <v>39</v>
      </c>
      <c r="E38" s="10" t="s">
        <v>116</v>
      </c>
      <c r="F38" s="11" t="n">
        <v>46258</v>
      </c>
      <c r="G38" s="11" t="n">
        <v>46269</v>
      </c>
      <c r="H38" s="9" t="n">
        <f aca="false">G38-F38+1</f>
        <v>12</v>
      </c>
      <c r="I38" s="9" t="s">
        <v>36</v>
      </c>
      <c r="J38" s="14"/>
      <c r="K38" s="14"/>
      <c r="L38" s="14"/>
      <c r="M38" s="27"/>
      <c r="N38" s="27"/>
      <c r="O38" s="14"/>
      <c r="P38" s="14"/>
      <c r="Q38" s="14"/>
      <c r="R38" s="14"/>
      <c r="S38" s="14"/>
      <c r="T38" s="14"/>
      <c r="U38" s="14"/>
      <c r="V38" s="14"/>
      <c r="W38" s="14"/>
    </row>
    <row r="39" customFormat="false" ht="15" hidden="false" customHeight="false" outlineLevel="0" collapsed="false">
      <c r="A39" s="8"/>
      <c r="B39" s="9" t="s">
        <v>117</v>
      </c>
      <c r="C39" s="10" t="s">
        <v>118</v>
      </c>
      <c r="D39" s="8" t="s">
        <v>29</v>
      </c>
      <c r="E39" s="10" t="s">
        <v>98</v>
      </c>
      <c r="F39" s="11" t="n">
        <v>46258</v>
      </c>
      <c r="G39" s="11" t="n">
        <v>46269</v>
      </c>
      <c r="H39" s="9" t="n">
        <f aca="false">G39-F39+1</f>
        <v>12</v>
      </c>
      <c r="I39" s="9" t="s">
        <v>36</v>
      </c>
      <c r="J39" s="14"/>
      <c r="K39" s="14"/>
      <c r="L39" s="14"/>
      <c r="M39" s="27"/>
      <c r="N39" s="27"/>
      <c r="O39" s="14"/>
      <c r="P39" s="14"/>
      <c r="Q39" s="14"/>
      <c r="R39" s="14"/>
      <c r="S39" s="14"/>
      <c r="T39" s="14"/>
      <c r="U39" s="14"/>
      <c r="V39" s="14"/>
      <c r="W39" s="14"/>
    </row>
    <row r="40" customFormat="false" ht="15" hidden="false" customHeight="false" outlineLevel="0" collapsed="false">
      <c r="A40" s="8"/>
      <c r="B40" s="9" t="s">
        <v>119</v>
      </c>
      <c r="C40" s="10" t="s">
        <v>120</v>
      </c>
      <c r="D40" s="8" t="s">
        <v>39</v>
      </c>
      <c r="E40" s="10" t="s">
        <v>116</v>
      </c>
      <c r="F40" s="11" t="n">
        <v>46272</v>
      </c>
      <c r="G40" s="11" t="n">
        <v>46276</v>
      </c>
      <c r="H40" s="9" t="n">
        <f aca="false">G40-F40+1</f>
        <v>5</v>
      </c>
      <c r="I40" s="9" t="s">
        <v>36</v>
      </c>
      <c r="J40" s="14"/>
      <c r="K40" s="14"/>
      <c r="L40" s="14"/>
      <c r="M40" s="14"/>
      <c r="N40" s="14"/>
      <c r="O40" s="27"/>
      <c r="P40" s="14"/>
      <c r="Q40" s="14"/>
      <c r="R40" s="14"/>
      <c r="S40" s="14"/>
      <c r="T40" s="14"/>
      <c r="U40" s="14"/>
      <c r="V40" s="14"/>
      <c r="W40" s="14"/>
    </row>
    <row r="41" customFormat="false" ht="15" hidden="false" customHeight="false" outlineLevel="0" collapsed="false">
      <c r="A41" s="28" t="s">
        <v>121</v>
      </c>
      <c r="B41" s="28"/>
      <c r="C41" s="28"/>
      <c r="D41" s="28"/>
      <c r="E41" s="28"/>
      <c r="F41" s="28"/>
      <c r="G41" s="28"/>
      <c r="H41" s="28"/>
      <c r="I41" s="28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</row>
    <row r="42" customFormat="false" ht="15" hidden="false" customHeight="false" outlineLevel="0" collapsed="false">
      <c r="A42" s="8"/>
      <c r="B42" s="9" t="s">
        <v>122</v>
      </c>
      <c r="C42" s="10" t="s">
        <v>123</v>
      </c>
      <c r="D42" s="8" t="s">
        <v>29</v>
      </c>
      <c r="E42" s="10" t="s">
        <v>40</v>
      </c>
      <c r="F42" s="11" t="n">
        <v>46258</v>
      </c>
      <c r="G42" s="11" t="n">
        <v>46262</v>
      </c>
      <c r="H42" s="9" t="n">
        <f aca="false">G42-F42+1</f>
        <v>5</v>
      </c>
      <c r="I42" s="9" t="s">
        <v>36</v>
      </c>
      <c r="J42" s="14"/>
      <c r="K42" s="14"/>
      <c r="L42" s="14"/>
      <c r="M42" s="30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customFormat="false" ht="23.85" hidden="false" customHeight="false" outlineLevel="0" collapsed="false">
      <c r="A43" s="8"/>
      <c r="B43" s="9" t="s">
        <v>124</v>
      </c>
      <c r="C43" s="10" t="s">
        <v>125</v>
      </c>
      <c r="D43" s="8" t="s">
        <v>34</v>
      </c>
      <c r="E43" s="10" t="s">
        <v>126</v>
      </c>
      <c r="F43" s="11" t="n">
        <v>46265</v>
      </c>
      <c r="G43" s="11" t="n">
        <v>46269</v>
      </c>
      <c r="H43" s="9" t="n">
        <f aca="false">G43-F43+1</f>
        <v>5</v>
      </c>
      <c r="I43" s="9" t="s">
        <v>36</v>
      </c>
      <c r="J43" s="14"/>
      <c r="K43" s="14"/>
      <c r="L43" s="14"/>
      <c r="M43" s="14"/>
      <c r="N43" s="30"/>
      <c r="O43" s="14"/>
      <c r="P43" s="14"/>
      <c r="Q43" s="14"/>
      <c r="R43" s="14"/>
      <c r="S43" s="14"/>
      <c r="T43" s="14"/>
      <c r="U43" s="14"/>
      <c r="V43" s="14"/>
      <c r="W43" s="14"/>
    </row>
    <row r="44" customFormat="false" ht="15" hidden="false" customHeight="false" outlineLevel="0" collapsed="false">
      <c r="A44" s="8"/>
      <c r="B44" s="9" t="s">
        <v>127</v>
      </c>
      <c r="C44" s="10" t="s">
        <v>128</v>
      </c>
      <c r="D44" s="8" t="s">
        <v>29</v>
      </c>
      <c r="E44" s="10" t="s">
        <v>79</v>
      </c>
      <c r="F44" s="11" t="n">
        <v>46258</v>
      </c>
      <c r="G44" s="11" t="n">
        <v>46269</v>
      </c>
      <c r="H44" s="9" t="n">
        <f aca="false">G44-F44+1</f>
        <v>12</v>
      </c>
      <c r="I44" s="9" t="s">
        <v>36</v>
      </c>
      <c r="J44" s="14"/>
      <c r="K44" s="14"/>
      <c r="L44" s="14"/>
      <c r="M44" s="30"/>
      <c r="N44" s="30"/>
      <c r="O44" s="14"/>
      <c r="P44" s="14"/>
      <c r="Q44" s="14"/>
      <c r="R44" s="14"/>
      <c r="S44" s="14"/>
      <c r="T44" s="14"/>
      <c r="U44" s="14"/>
      <c r="V44" s="14"/>
      <c r="W44" s="14"/>
    </row>
    <row r="45" customFormat="false" ht="15" hidden="false" customHeight="false" outlineLevel="0" collapsed="false">
      <c r="A45" s="8"/>
      <c r="B45" s="9" t="s">
        <v>129</v>
      </c>
      <c r="C45" s="10" t="s">
        <v>130</v>
      </c>
      <c r="D45" s="8" t="s">
        <v>39</v>
      </c>
      <c r="E45" s="10" t="s">
        <v>79</v>
      </c>
      <c r="F45" s="11" t="n">
        <v>46273</v>
      </c>
      <c r="G45" s="11" t="n">
        <v>46276</v>
      </c>
      <c r="H45" s="9" t="n">
        <f aca="false">G45-F45+1</f>
        <v>4</v>
      </c>
      <c r="I45" s="9" t="s">
        <v>36</v>
      </c>
      <c r="J45" s="14"/>
      <c r="K45" s="14"/>
      <c r="L45" s="14"/>
      <c r="M45" s="14"/>
      <c r="N45" s="14"/>
      <c r="O45" s="30"/>
      <c r="P45" s="14"/>
      <c r="Q45" s="14"/>
      <c r="R45" s="14"/>
      <c r="S45" s="14"/>
      <c r="T45" s="14"/>
      <c r="U45" s="14"/>
      <c r="V45" s="14"/>
      <c r="W45" s="14"/>
    </row>
    <row r="46" customFormat="false" ht="15" hidden="false" customHeight="false" outlineLevel="0" collapsed="false">
      <c r="A46" s="8"/>
      <c r="B46" s="9" t="s">
        <v>131</v>
      </c>
      <c r="C46" s="10" t="s">
        <v>132</v>
      </c>
      <c r="D46" s="8" t="s">
        <v>39</v>
      </c>
      <c r="E46" s="10" t="s">
        <v>79</v>
      </c>
      <c r="F46" s="11" t="n">
        <v>46258</v>
      </c>
      <c r="G46" s="11" t="n">
        <v>46269</v>
      </c>
      <c r="H46" s="9" t="n">
        <f aca="false">G46-F46+1</f>
        <v>12</v>
      </c>
      <c r="I46" s="9" t="s">
        <v>36</v>
      </c>
      <c r="J46" s="14"/>
      <c r="K46" s="14"/>
      <c r="L46" s="14"/>
      <c r="M46" s="30"/>
      <c r="N46" s="30"/>
      <c r="O46" s="14"/>
      <c r="P46" s="14"/>
      <c r="Q46" s="14"/>
      <c r="R46" s="14"/>
      <c r="S46" s="14"/>
      <c r="T46" s="14"/>
      <c r="U46" s="14"/>
      <c r="V46" s="14"/>
      <c r="W46" s="14"/>
    </row>
    <row r="47" customFormat="false" ht="23.85" hidden="false" customHeight="false" outlineLevel="0" collapsed="false">
      <c r="A47" s="8"/>
      <c r="B47" s="9" t="s">
        <v>133</v>
      </c>
      <c r="C47" s="10" t="s">
        <v>134</v>
      </c>
      <c r="D47" s="8" t="s">
        <v>29</v>
      </c>
      <c r="E47" s="10" t="s">
        <v>135</v>
      </c>
      <c r="F47" s="11" t="n">
        <v>46265</v>
      </c>
      <c r="G47" s="11" t="n">
        <v>46276</v>
      </c>
      <c r="H47" s="9" t="n">
        <f aca="false">G47-F47+1</f>
        <v>12</v>
      </c>
      <c r="I47" s="9" t="s">
        <v>36</v>
      </c>
      <c r="J47" s="14"/>
      <c r="K47" s="14"/>
      <c r="L47" s="14"/>
      <c r="M47" s="14"/>
      <c r="N47" s="30"/>
      <c r="O47" s="30"/>
      <c r="P47" s="14"/>
      <c r="Q47" s="14"/>
      <c r="R47" s="14"/>
      <c r="S47" s="14"/>
      <c r="T47" s="14"/>
      <c r="U47" s="14"/>
      <c r="V47" s="14"/>
      <c r="W47" s="14"/>
    </row>
    <row r="48" customFormat="false" ht="15" hidden="false" customHeight="false" outlineLevel="0" collapsed="false">
      <c r="A48" s="8"/>
      <c r="B48" s="9" t="s">
        <v>136</v>
      </c>
      <c r="C48" s="10" t="s">
        <v>137</v>
      </c>
      <c r="D48" s="8" t="s">
        <v>29</v>
      </c>
      <c r="E48" s="10" t="s">
        <v>79</v>
      </c>
      <c r="F48" s="11" t="n">
        <v>46265</v>
      </c>
      <c r="G48" s="11" t="n">
        <v>46276</v>
      </c>
      <c r="H48" s="9" t="n">
        <f aca="false">G48-F48+1</f>
        <v>12</v>
      </c>
      <c r="I48" s="9" t="s">
        <v>36</v>
      </c>
      <c r="J48" s="14"/>
      <c r="K48" s="14"/>
      <c r="L48" s="14"/>
      <c r="M48" s="14"/>
      <c r="N48" s="30"/>
      <c r="O48" s="30"/>
      <c r="P48" s="14"/>
      <c r="Q48" s="14"/>
      <c r="R48" s="14"/>
      <c r="S48" s="14"/>
      <c r="T48" s="14"/>
      <c r="U48" s="14"/>
      <c r="V48" s="14"/>
      <c r="W48" s="14"/>
    </row>
    <row r="49" customFormat="false" ht="15" hidden="false" customHeight="false" outlineLevel="0" collapsed="false">
      <c r="A49" s="31" t="s">
        <v>138</v>
      </c>
      <c r="B49" s="31"/>
      <c r="C49" s="31"/>
      <c r="D49" s="31"/>
      <c r="E49" s="31"/>
      <c r="F49" s="31"/>
      <c r="G49" s="31"/>
      <c r="H49" s="31"/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</row>
    <row r="50" customFormat="false" ht="15" hidden="false" customHeight="false" outlineLevel="0" collapsed="false">
      <c r="A50" s="8"/>
      <c r="B50" s="9" t="s">
        <v>139</v>
      </c>
      <c r="C50" s="10" t="s">
        <v>140</v>
      </c>
      <c r="D50" s="8" t="s">
        <v>34</v>
      </c>
      <c r="E50" s="10" t="s">
        <v>89</v>
      </c>
      <c r="F50" s="11" t="n">
        <v>46251</v>
      </c>
      <c r="G50" s="11" t="n">
        <v>46262</v>
      </c>
      <c r="H50" s="9" t="n">
        <f aca="false">G50-F50+1</f>
        <v>12</v>
      </c>
      <c r="I50" s="9" t="s">
        <v>36</v>
      </c>
      <c r="J50" s="14"/>
      <c r="K50" s="14"/>
      <c r="L50" s="33"/>
      <c r="M50" s="33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customFormat="false" ht="15" hidden="false" customHeight="false" outlineLevel="0" collapsed="false">
      <c r="A51" s="8"/>
      <c r="B51" s="9" t="s">
        <v>141</v>
      </c>
      <c r="C51" s="10" t="s">
        <v>142</v>
      </c>
      <c r="D51" s="8" t="s">
        <v>34</v>
      </c>
      <c r="E51" s="10" t="s">
        <v>89</v>
      </c>
      <c r="F51" s="11" t="n">
        <v>46258</v>
      </c>
      <c r="G51" s="11" t="n">
        <v>46276</v>
      </c>
      <c r="H51" s="9" t="n">
        <f aca="false">G51-F51+1</f>
        <v>19</v>
      </c>
      <c r="I51" s="9" t="s">
        <v>36</v>
      </c>
      <c r="J51" s="14"/>
      <c r="K51" s="14"/>
      <c r="L51" s="14"/>
      <c r="M51" s="33"/>
      <c r="N51" s="33"/>
      <c r="O51" s="33"/>
      <c r="P51" s="14"/>
      <c r="Q51" s="14"/>
      <c r="R51" s="14"/>
      <c r="S51" s="14"/>
      <c r="T51" s="14"/>
      <c r="U51" s="14"/>
      <c r="V51" s="14"/>
      <c r="W51" s="14"/>
    </row>
    <row r="52" customFormat="false" ht="15" hidden="false" customHeight="false" outlineLevel="0" collapsed="false">
      <c r="A52" s="8"/>
      <c r="B52" s="9" t="s">
        <v>143</v>
      </c>
      <c r="C52" s="10" t="s">
        <v>144</v>
      </c>
      <c r="D52" s="8" t="s">
        <v>29</v>
      </c>
      <c r="E52" s="10" t="s">
        <v>89</v>
      </c>
      <c r="F52" s="11" t="n">
        <v>46279</v>
      </c>
      <c r="G52" s="11" t="n">
        <v>46295</v>
      </c>
      <c r="H52" s="9" t="n">
        <f aca="false">G52-F52+1</f>
        <v>17</v>
      </c>
      <c r="I52" s="9" t="s">
        <v>36</v>
      </c>
      <c r="J52" s="14"/>
      <c r="K52" s="14"/>
      <c r="L52" s="14"/>
      <c r="M52" s="14"/>
      <c r="N52" s="14"/>
      <c r="O52" s="14"/>
      <c r="P52" s="33"/>
      <c r="Q52" s="33"/>
      <c r="R52" s="33"/>
      <c r="S52" s="14"/>
      <c r="T52" s="14"/>
      <c r="U52" s="14"/>
      <c r="V52" s="14"/>
      <c r="W52" s="14"/>
    </row>
    <row r="53" customFormat="false" ht="15" hidden="false" customHeight="false" outlineLevel="0" collapsed="false">
      <c r="A53" s="8"/>
      <c r="B53" s="9" t="s">
        <v>145</v>
      </c>
      <c r="C53" s="10" t="s">
        <v>146</v>
      </c>
      <c r="D53" s="8" t="s">
        <v>34</v>
      </c>
      <c r="E53" s="10" t="s">
        <v>89</v>
      </c>
      <c r="F53" s="11" t="n">
        <v>46296</v>
      </c>
      <c r="G53" s="11" t="n">
        <v>46311</v>
      </c>
      <c r="H53" s="9" t="n">
        <f aca="false">G53-F53+1</f>
        <v>16</v>
      </c>
      <c r="I53" s="9" t="s">
        <v>36</v>
      </c>
      <c r="J53" s="14"/>
      <c r="K53" s="14"/>
      <c r="L53" s="14"/>
      <c r="M53" s="14"/>
      <c r="N53" s="14"/>
      <c r="O53" s="14"/>
      <c r="P53" s="14"/>
      <c r="Q53" s="14"/>
      <c r="R53" s="33"/>
      <c r="S53" s="33"/>
      <c r="T53" s="33"/>
      <c r="U53" s="14"/>
      <c r="V53" s="14"/>
      <c r="W53" s="14"/>
    </row>
    <row r="54" customFormat="false" ht="23.85" hidden="false" customHeight="false" outlineLevel="0" collapsed="false">
      <c r="A54" s="8"/>
      <c r="B54" s="9" t="s">
        <v>147</v>
      </c>
      <c r="C54" s="10" t="s">
        <v>148</v>
      </c>
      <c r="D54" s="8" t="s">
        <v>34</v>
      </c>
      <c r="E54" s="10" t="s">
        <v>149</v>
      </c>
      <c r="F54" s="11" t="n">
        <v>46279</v>
      </c>
      <c r="G54" s="11" t="n">
        <v>46295</v>
      </c>
      <c r="H54" s="9" t="n">
        <f aca="false">G54-F54+1</f>
        <v>17</v>
      </c>
      <c r="I54" s="9" t="s">
        <v>36</v>
      </c>
      <c r="J54" s="14"/>
      <c r="K54" s="14"/>
      <c r="L54" s="14"/>
      <c r="M54" s="14"/>
      <c r="N54" s="14"/>
      <c r="O54" s="14"/>
      <c r="P54" s="33"/>
      <c r="Q54" s="33"/>
      <c r="R54" s="33"/>
      <c r="S54" s="14"/>
      <c r="T54" s="14"/>
      <c r="U54" s="14"/>
      <c r="V54" s="14"/>
      <c r="W54" s="14"/>
    </row>
    <row r="55" customFormat="false" ht="23.85" hidden="false" customHeight="false" outlineLevel="0" collapsed="false">
      <c r="A55" s="8"/>
      <c r="B55" s="9" t="s">
        <v>150</v>
      </c>
      <c r="C55" s="10" t="s">
        <v>151</v>
      </c>
      <c r="D55" s="8" t="s">
        <v>34</v>
      </c>
      <c r="E55" s="10" t="s">
        <v>149</v>
      </c>
      <c r="F55" s="11" t="n">
        <v>46307</v>
      </c>
      <c r="G55" s="11" t="n">
        <v>46313</v>
      </c>
      <c r="H55" s="9" t="n">
        <f aca="false">G55-F55+1</f>
        <v>7</v>
      </c>
      <c r="I55" s="9" t="s">
        <v>36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33"/>
      <c r="U55" s="14"/>
      <c r="V55" s="14"/>
      <c r="W55" s="14"/>
    </row>
    <row r="56" customFormat="false" ht="15" hidden="false" customHeight="false" outlineLevel="0" collapsed="false">
      <c r="A56" s="8"/>
      <c r="B56" s="9" t="s">
        <v>152</v>
      </c>
      <c r="C56" s="10" t="s">
        <v>153</v>
      </c>
      <c r="D56" s="8" t="s">
        <v>29</v>
      </c>
      <c r="E56" s="10" t="s">
        <v>89</v>
      </c>
      <c r="F56" s="11" t="n">
        <v>46314</v>
      </c>
      <c r="G56" s="11" t="n">
        <v>46325</v>
      </c>
      <c r="H56" s="9" t="n">
        <f aca="false">G56-F56+1</f>
        <v>12</v>
      </c>
      <c r="I56" s="9" t="s">
        <v>36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33"/>
      <c r="V56" s="33"/>
      <c r="W56" s="14"/>
    </row>
    <row r="57" customFormat="false" ht="15" hidden="false" customHeight="false" outlineLevel="0" collapsed="false">
      <c r="A57" s="34" t="s">
        <v>154</v>
      </c>
      <c r="B57" s="34"/>
      <c r="C57" s="34"/>
      <c r="D57" s="34"/>
      <c r="E57" s="34"/>
      <c r="F57" s="34"/>
      <c r="G57" s="34"/>
      <c r="H57" s="34"/>
      <c r="I57" s="34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</row>
    <row r="58" customFormat="false" ht="15" hidden="false" customHeight="false" outlineLevel="0" collapsed="false">
      <c r="A58" s="8"/>
      <c r="B58" s="9" t="s">
        <v>155</v>
      </c>
      <c r="C58" s="10" t="s">
        <v>156</v>
      </c>
      <c r="D58" s="8" t="s">
        <v>157</v>
      </c>
      <c r="E58" s="10" t="s">
        <v>158</v>
      </c>
      <c r="F58" s="11" t="n">
        <v>46265</v>
      </c>
      <c r="G58" s="11" t="n">
        <v>46269</v>
      </c>
      <c r="H58" s="9" t="n">
        <f aca="false">G58-F58+1</f>
        <v>5</v>
      </c>
      <c r="I58" s="9" t="s">
        <v>36</v>
      </c>
      <c r="J58" s="14"/>
      <c r="K58" s="14"/>
      <c r="L58" s="14"/>
      <c r="M58" s="14"/>
      <c r="N58" s="36"/>
      <c r="O58" s="14"/>
      <c r="P58" s="14"/>
      <c r="Q58" s="14"/>
      <c r="R58" s="14"/>
      <c r="S58" s="14"/>
      <c r="T58" s="14"/>
      <c r="U58" s="14"/>
      <c r="V58" s="14"/>
      <c r="W58" s="14"/>
    </row>
    <row r="59" customFormat="false" ht="15" hidden="false" customHeight="false" outlineLevel="0" collapsed="false">
      <c r="A59" s="8"/>
      <c r="B59" s="9" t="s">
        <v>159</v>
      </c>
      <c r="C59" s="10" t="s">
        <v>160</v>
      </c>
      <c r="D59" s="8" t="s">
        <v>39</v>
      </c>
      <c r="E59" s="10" t="s">
        <v>79</v>
      </c>
      <c r="F59" s="11" t="n">
        <v>46279</v>
      </c>
      <c r="G59" s="11" t="n">
        <v>46290</v>
      </c>
      <c r="H59" s="9" t="n">
        <f aca="false">G59-F59+1</f>
        <v>12</v>
      </c>
      <c r="I59" s="9" t="s">
        <v>36</v>
      </c>
      <c r="J59" s="14"/>
      <c r="K59" s="14"/>
      <c r="L59" s="14"/>
      <c r="M59" s="14"/>
      <c r="N59" s="14"/>
      <c r="O59" s="14"/>
      <c r="P59" s="36"/>
      <c r="Q59" s="36"/>
      <c r="R59" s="14"/>
      <c r="S59" s="14"/>
      <c r="T59" s="14"/>
      <c r="U59" s="14"/>
      <c r="V59" s="14"/>
      <c r="W59" s="14"/>
    </row>
    <row r="60" customFormat="false" ht="15" hidden="false" customHeight="false" outlineLevel="0" collapsed="false">
      <c r="A60" s="8"/>
      <c r="B60" s="9" t="s">
        <v>161</v>
      </c>
      <c r="C60" s="10" t="s">
        <v>162</v>
      </c>
      <c r="D60" s="8" t="s">
        <v>34</v>
      </c>
      <c r="E60" s="10" t="s">
        <v>71</v>
      </c>
      <c r="F60" s="11" t="n">
        <v>46279</v>
      </c>
      <c r="G60" s="11" t="n">
        <v>46290</v>
      </c>
      <c r="H60" s="9" t="n">
        <f aca="false">G60-F60+1</f>
        <v>12</v>
      </c>
      <c r="I60" s="9" t="s">
        <v>36</v>
      </c>
      <c r="J60" s="14"/>
      <c r="K60" s="14"/>
      <c r="L60" s="14"/>
      <c r="M60" s="14"/>
      <c r="N60" s="14"/>
      <c r="O60" s="14"/>
      <c r="P60" s="36"/>
      <c r="Q60" s="36"/>
      <c r="R60" s="14"/>
      <c r="S60" s="14"/>
      <c r="T60" s="14"/>
      <c r="U60" s="14"/>
      <c r="V60" s="14"/>
      <c r="W60" s="14"/>
    </row>
    <row r="61" customFormat="false" ht="15" hidden="false" customHeight="false" outlineLevel="0" collapsed="false">
      <c r="A61" s="8"/>
      <c r="B61" s="9" t="s">
        <v>163</v>
      </c>
      <c r="C61" s="10" t="s">
        <v>164</v>
      </c>
      <c r="D61" s="8" t="s">
        <v>39</v>
      </c>
      <c r="E61" s="10" t="s">
        <v>135</v>
      </c>
      <c r="F61" s="11" t="n">
        <v>46279</v>
      </c>
      <c r="G61" s="11" t="n">
        <v>46295</v>
      </c>
      <c r="H61" s="9" t="n">
        <f aca="false">G61-F61+1</f>
        <v>17</v>
      </c>
      <c r="I61" s="9" t="s">
        <v>36</v>
      </c>
      <c r="J61" s="14"/>
      <c r="K61" s="14"/>
      <c r="L61" s="14"/>
      <c r="M61" s="14"/>
      <c r="N61" s="14"/>
      <c r="O61" s="14"/>
      <c r="P61" s="36"/>
      <c r="Q61" s="36"/>
      <c r="R61" s="36"/>
      <c r="S61" s="14"/>
      <c r="T61" s="14"/>
      <c r="U61" s="14"/>
      <c r="V61" s="14"/>
      <c r="W61" s="14"/>
    </row>
    <row r="62" customFormat="false" ht="15" hidden="false" customHeight="false" outlineLevel="0" collapsed="false">
      <c r="A62" s="8"/>
      <c r="B62" s="9" t="s">
        <v>165</v>
      </c>
      <c r="C62" s="10" t="s">
        <v>166</v>
      </c>
      <c r="D62" s="8" t="s">
        <v>29</v>
      </c>
      <c r="E62" s="10" t="s">
        <v>43</v>
      </c>
      <c r="F62" s="11" t="n">
        <v>46293</v>
      </c>
      <c r="G62" s="11" t="n">
        <v>46295</v>
      </c>
      <c r="H62" s="9" t="n">
        <f aca="false">G62-F62+1</f>
        <v>3</v>
      </c>
      <c r="I62" s="9" t="s">
        <v>36</v>
      </c>
      <c r="J62" s="14"/>
      <c r="K62" s="14"/>
      <c r="L62" s="14"/>
      <c r="M62" s="14"/>
      <c r="N62" s="14"/>
      <c r="O62" s="14"/>
      <c r="P62" s="14"/>
      <c r="Q62" s="14"/>
      <c r="R62" s="36"/>
      <c r="S62" s="14"/>
      <c r="T62" s="14"/>
      <c r="U62" s="14"/>
      <c r="V62" s="14"/>
      <c r="W62" s="14"/>
    </row>
    <row r="63" customFormat="false" ht="15" hidden="false" customHeight="false" outlineLevel="0" collapsed="false">
      <c r="A63" s="18"/>
      <c r="B63" s="19" t="s">
        <v>167</v>
      </c>
      <c r="C63" s="20" t="s">
        <v>168</v>
      </c>
      <c r="D63" s="18" t="s">
        <v>169</v>
      </c>
      <c r="E63" s="20" t="s">
        <v>170</v>
      </c>
      <c r="F63" s="21" t="n">
        <v>46295</v>
      </c>
      <c r="G63" s="21" t="n">
        <v>46295</v>
      </c>
      <c r="H63" s="19" t="n">
        <f aca="false">G63-F63+1</f>
        <v>1</v>
      </c>
      <c r="I63" s="19" t="s">
        <v>36</v>
      </c>
      <c r="J63" s="14"/>
      <c r="K63" s="14"/>
      <c r="L63" s="14"/>
      <c r="M63" s="14"/>
      <c r="N63" s="14"/>
      <c r="O63" s="14"/>
      <c r="P63" s="14"/>
      <c r="Q63" s="14"/>
      <c r="R63" s="36"/>
      <c r="S63" s="14"/>
      <c r="T63" s="14"/>
      <c r="U63" s="14"/>
      <c r="V63" s="14"/>
      <c r="W63" s="14"/>
    </row>
    <row r="64" customFormat="false" ht="15" hidden="false" customHeight="false" outlineLevel="0" collapsed="false">
      <c r="A64" s="37" t="s">
        <v>171</v>
      </c>
      <c r="B64" s="37"/>
      <c r="C64" s="37"/>
      <c r="D64" s="37"/>
      <c r="E64" s="37"/>
      <c r="F64" s="37"/>
      <c r="G64" s="37"/>
      <c r="H64" s="37"/>
      <c r="I64" s="37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</row>
    <row r="65" customFormat="false" ht="15" hidden="false" customHeight="false" outlineLevel="0" collapsed="false">
      <c r="A65" s="18"/>
      <c r="B65" s="19" t="s">
        <v>172</v>
      </c>
      <c r="C65" s="20" t="s">
        <v>173</v>
      </c>
      <c r="D65" s="18" t="s">
        <v>34</v>
      </c>
      <c r="E65" s="20" t="s">
        <v>43</v>
      </c>
      <c r="F65" s="21" t="n">
        <v>46296</v>
      </c>
      <c r="G65" s="21" t="n">
        <v>46296</v>
      </c>
      <c r="H65" s="19" t="n">
        <f aca="false">G65-F65+1</f>
        <v>1</v>
      </c>
      <c r="I65" s="19" t="s">
        <v>36</v>
      </c>
      <c r="J65" s="14"/>
      <c r="K65" s="14"/>
      <c r="L65" s="14"/>
      <c r="M65" s="14"/>
      <c r="N65" s="14"/>
      <c r="O65" s="14"/>
      <c r="P65" s="14"/>
      <c r="Q65" s="14"/>
      <c r="R65" s="39"/>
      <c r="S65" s="14"/>
      <c r="T65" s="14"/>
      <c r="U65" s="14"/>
      <c r="V65" s="14"/>
      <c r="W65" s="14"/>
    </row>
    <row r="66" customFormat="false" ht="15" hidden="false" customHeight="false" outlineLevel="0" collapsed="false">
      <c r="A66" s="8"/>
      <c r="B66" s="9" t="s">
        <v>174</v>
      </c>
      <c r="C66" s="10" t="s">
        <v>175</v>
      </c>
      <c r="D66" s="8" t="s">
        <v>39</v>
      </c>
      <c r="E66" s="10" t="s">
        <v>135</v>
      </c>
      <c r="F66" s="11" t="n">
        <v>46296</v>
      </c>
      <c r="G66" s="11" t="n">
        <v>46311</v>
      </c>
      <c r="H66" s="9" t="n">
        <f aca="false">G66-F66+1</f>
        <v>16</v>
      </c>
      <c r="I66" s="9" t="s">
        <v>36</v>
      </c>
      <c r="J66" s="14"/>
      <c r="K66" s="14"/>
      <c r="L66" s="14"/>
      <c r="M66" s="14"/>
      <c r="N66" s="14"/>
      <c r="O66" s="14"/>
      <c r="P66" s="14"/>
      <c r="Q66" s="14"/>
      <c r="R66" s="39"/>
      <c r="S66" s="39"/>
      <c r="T66" s="39"/>
      <c r="U66" s="14"/>
      <c r="V66" s="14"/>
      <c r="W66" s="14"/>
    </row>
    <row r="67" customFormat="false" ht="15" hidden="false" customHeight="false" outlineLevel="0" collapsed="false">
      <c r="A67" s="8"/>
      <c r="B67" s="9" t="s">
        <v>176</v>
      </c>
      <c r="C67" s="10" t="s">
        <v>177</v>
      </c>
      <c r="D67" s="8" t="s">
        <v>39</v>
      </c>
      <c r="E67" s="10" t="s">
        <v>79</v>
      </c>
      <c r="F67" s="11" t="n">
        <v>46314</v>
      </c>
      <c r="G67" s="11" t="n">
        <v>46325</v>
      </c>
      <c r="H67" s="9" t="n">
        <f aca="false">G67-F67+1</f>
        <v>12</v>
      </c>
      <c r="I67" s="9" t="s">
        <v>36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39"/>
      <c r="V67" s="39"/>
      <c r="W67" s="14"/>
    </row>
    <row r="68" customFormat="false" ht="15" hidden="false" customHeight="false" outlineLevel="0" collapsed="false">
      <c r="A68" s="8"/>
      <c r="B68" s="9" t="s">
        <v>178</v>
      </c>
      <c r="C68" s="10" t="s">
        <v>179</v>
      </c>
      <c r="D68" s="8" t="s">
        <v>29</v>
      </c>
      <c r="E68" s="10" t="s">
        <v>180</v>
      </c>
      <c r="F68" s="11" t="n">
        <v>46296</v>
      </c>
      <c r="G68" s="11" t="n">
        <v>46325</v>
      </c>
      <c r="H68" s="9" t="n">
        <f aca="false">G68-F68+1</f>
        <v>30</v>
      </c>
      <c r="I68" s="9" t="s">
        <v>36</v>
      </c>
      <c r="J68" s="14"/>
      <c r="K68" s="14"/>
      <c r="L68" s="14"/>
      <c r="M68" s="14"/>
      <c r="N68" s="14"/>
      <c r="O68" s="14"/>
      <c r="P68" s="14"/>
      <c r="Q68" s="14"/>
      <c r="R68" s="39"/>
      <c r="S68" s="39"/>
      <c r="T68" s="39"/>
      <c r="U68" s="39"/>
      <c r="V68" s="39"/>
      <c r="W68" s="14"/>
    </row>
    <row r="69" customFormat="false" ht="15" hidden="false" customHeight="false" outlineLevel="0" collapsed="false">
      <c r="A69" s="8"/>
      <c r="B69" s="9" t="s">
        <v>181</v>
      </c>
      <c r="C69" s="10" t="s">
        <v>182</v>
      </c>
      <c r="D69" s="8" t="s">
        <v>29</v>
      </c>
      <c r="E69" s="10" t="s">
        <v>158</v>
      </c>
      <c r="F69" s="11" t="n">
        <v>46314</v>
      </c>
      <c r="G69" s="11" t="n">
        <v>46325</v>
      </c>
      <c r="H69" s="9" t="n">
        <f aca="false">G69-F69+1</f>
        <v>12</v>
      </c>
      <c r="I69" s="9" t="s">
        <v>36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39"/>
      <c r="V69" s="39"/>
      <c r="W69" s="14"/>
    </row>
    <row r="70" customFormat="false" ht="15" hidden="false" customHeight="false" outlineLevel="0" collapsed="false">
      <c r="A70" s="8"/>
      <c r="B70" s="9" t="s">
        <v>183</v>
      </c>
      <c r="C70" s="10" t="s">
        <v>184</v>
      </c>
      <c r="D70" s="8" t="s">
        <v>169</v>
      </c>
      <c r="E70" s="10" t="s">
        <v>43</v>
      </c>
      <c r="F70" s="11" t="n">
        <v>46325</v>
      </c>
      <c r="G70" s="11" t="n">
        <v>46325</v>
      </c>
      <c r="H70" s="9" t="n">
        <f aca="false">G70-F70+1</f>
        <v>1</v>
      </c>
      <c r="I70" s="9" t="s">
        <v>36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39"/>
      <c r="W70" s="14"/>
    </row>
    <row r="71" customFormat="false" ht="15" hidden="false" customHeight="false" outlineLevel="0" collapsed="false">
      <c r="A71" s="8"/>
      <c r="B71" s="9" t="s">
        <v>185</v>
      </c>
      <c r="C71" s="10" t="s">
        <v>186</v>
      </c>
      <c r="D71" s="8" t="s">
        <v>29</v>
      </c>
      <c r="E71" s="10" t="s">
        <v>71</v>
      </c>
      <c r="F71" s="11" t="n">
        <v>46329</v>
      </c>
      <c r="G71" s="11" t="n">
        <v>46332</v>
      </c>
      <c r="H71" s="9" t="n">
        <f aca="false">G71-F71+1</f>
        <v>4</v>
      </c>
      <c r="I71" s="9" t="s">
        <v>36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39"/>
    </row>
    <row r="73" customFormat="false" ht="15" hidden="false" customHeight="false" outlineLevel="0" collapsed="false">
      <c r="C73" s="40" t="s">
        <v>187</v>
      </c>
    </row>
    <row r="74" customFormat="false" ht="15" hidden="false" customHeight="false" outlineLevel="0" collapsed="false">
      <c r="C74" s="40" t="s">
        <v>188</v>
      </c>
    </row>
  </sheetData>
  <mergeCells count="8">
    <mergeCell ref="A5:I5"/>
    <mergeCell ref="A10:I10"/>
    <mergeCell ref="A18:I18"/>
    <mergeCell ref="A25:I25"/>
    <mergeCell ref="A41:I41"/>
    <mergeCell ref="A49:I49"/>
    <mergeCell ref="A57:I57"/>
    <mergeCell ref="A64:I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41" t="s">
        <v>189</v>
      </c>
    </row>
    <row r="3" customFormat="false" ht="15" hidden="false" customHeight="false" outlineLevel="0" collapsed="false">
      <c r="A3" s="42" t="s">
        <v>190</v>
      </c>
      <c r="B3" s="42" t="s">
        <v>191</v>
      </c>
      <c r="C3" s="42" t="s">
        <v>6</v>
      </c>
      <c r="D3" s="42" t="s">
        <v>7</v>
      </c>
    </row>
    <row r="4" customFormat="false" ht="15" hidden="false" customHeight="false" outlineLevel="0" collapsed="false">
      <c r="A4" s="43" t="s">
        <v>192</v>
      </c>
      <c r="B4" s="44" t="n">
        <v>46248</v>
      </c>
      <c r="C4" s="43" t="s">
        <v>34</v>
      </c>
      <c r="D4" s="43" t="s">
        <v>92</v>
      </c>
    </row>
    <row r="5" customFormat="false" ht="15" hidden="false" customHeight="false" outlineLevel="0" collapsed="false">
      <c r="A5" s="45" t="s">
        <v>193</v>
      </c>
      <c r="B5" s="46" t="n">
        <v>46248</v>
      </c>
      <c r="C5" s="45" t="s">
        <v>34</v>
      </c>
      <c r="D5" s="45" t="s">
        <v>158</v>
      </c>
    </row>
    <row r="6" customFormat="false" ht="15" hidden="false" customHeight="false" outlineLevel="0" collapsed="false">
      <c r="A6" s="43" t="s">
        <v>194</v>
      </c>
      <c r="B6" s="44" t="n">
        <v>46248</v>
      </c>
      <c r="C6" s="43" t="s">
        <v>29</v>
      </c>
      <c r="D6" s="43" t="s">
        <v>92</v>
      </c>
    </row>
    <row r="7" customFormat="false" ht="15" hidden="false" customHeight="false" outlineLevel="0" collapsed="false">
      <c r="A7" s="45" t="s">
        <v>195</v>
      </c>
      <c r="B7" s="46" t="n">
        <v>46248</v>
      </c>
      <c r="C7" s="45" t="s">
        <v>29</v>
      </c>
      <c r="D7" s="45" t="s">
        <v>98</v>
      </c>
    </row>
    <row r="8" customFormat="false" ht="15" hidden="false" customHeight="false" outlineLevel="0" collapsed="false">
      <c r="A8" s="43" t="s">
        <v>196</v>
      </c>
      <c r="B8" s="44" t="n">
        <v>46262</v>
      </c>
      <c r="C8" s="43" t="s">
        <v>34</v>
      </c>
      <c r="D8" s="43" t="s">
        <v>197</v>
      </c>
    </row>
    <row r="9" customFormat="false" ht="15" hidden="false" customHeight="false" outlineLevel="0" collapsed="false">
      <c r="A9" s="45" t="s">
        <v>198</v>
      </c>
      <c r="B9" s="46" t="n">
        <v>46262</v>
      </c>
      <c r="C9" s="45" t="s">
        <v>29</v>
      </c>
      <c r="D9" s="45" t="s">
        <v>89</v>
      </c>
    </row>
    <row r="10" customFormat="false" ht="15" hidden="false" customHeight="false" outlineLevel="0" collapsed="false">
      <c r="A10" s="43" t="s">
        <v>199</v>
      </c>
      <c r="B10" s="44" t="n">
        <v>46262</v>
      </c>
      <c r="C10" s="43" t="s">
        <v>29</v>
      </c>
      <c r="D10" s="43" t="s">
        <v>64</v>
      </c>
    </row>
    <row r="11" customFormat="false" ht="15" hidden="false" customHeight="false" outlineLevel="0" collapsed="false">
      <c r="A11" s="45" t="s">
        <v>200</v>
      </c>
      <c r="B11" s="46" t="n">
        <v>46266</v>
      </c>
      <c r="C11" s="45" t="s">
        <v>29</v>
      </c>
      <c r="D11" s="45" t="s">
        <v>40</v>
      </c>
    </row>
    <row r="12" customFormat="false" ht="15" hidden="false" customHeight="false" outlineLevel="0" collapsed="false">
      <c r="A12" s="43" t="s">
        <v>201</v>
      </c>
      <c r="B12" s="44" t="n">
        <v>46269</v>
      </c>
      <c r="C12" s="43" t="s">
        <v>39</v>
      </c>
      <c r="D12" s="43" t="s">
        <v>40</v>
      </c>
    </row>
    <row r="13" customFormat="false" ht="15" hidden="false" customHeight="false" outlineLevel="0" collapsed="false">
      <c r="A13" s="45" t="s">
        <v>202</v>
      </c>
      <c r="B13" s="46" t="n">
        <v>46269</v>
      </c>
      <c r="C13" s="45" t="s">
        <v>29</v>
      </c>
      <c r="D13" s="45" t="s">
        <v>111</v>
      </c>
    </row>
    <row r="14" customFormat="false" ht="15" hidden="false" customHeight="false" outlineLevel="0" collapsed="false">
      <c r="A14" s="43" t="s">
        <v>203</v>
      </c>
      <c r="B14" s="44" t="n">
        <v>46269</v>
      </c>
      <c r="C14" s="43" t="s">
        <v>34</v>
      </c>
      <c r="D14" s="43" t="s">
        <v>79</v>
      </c>
    </row>
    <row r="15" customFormat="false" ht="15" hidden="false" customHeight="false" outlineLevel="0" collapsed="false">
      <c r="A15" s="45" t="s">
        <v>204</v>
      </c>
      <c r="B15" s="46" t="n">
        <v>46276</v>
      </c>
      <c r="C15" s="45" t="s">
        <v>39</v>
      </c>
      <c r="D15" s="45" t="s">
        <v>116</v>
      </c>
    </row>
    <row r="16" customFormat="false" ht="15" hidden="false" customHeight="false" outlineLevel="0" collapsed="false">
      <c r="A16" s="43" t="s">
        <v>205</v>
      </c>
      <c r="B16" s="44" t="n">
        <v>46276</v>
      </c>
      <c r="C16" s="43" t="s">
        <v>39</v>
      </c>
      <c r="D16" s="43" t="s">
        <v>135</v>
      </c>
    </row>
    <row r="17" customFormat="false" ht="15" hidden="false" customHeight="false" outlineLevel="0" collapsed="false">
      <c r="A17" s="47" t="s">
        <v>206</v>
      </c>
      <c r="B17" s="48" t="n">
        <v>46276</v>
      </c>
      <c r="C17" s="47" t="s">
        <v>207</v>
      </c>
      <c r="D17" s="47" t="s">
        <v>43</v>
      </c>
    </row>
    <row r="18" customFormat="false" ht="15" hidden="false" customHeight="false" outlineLevel="0" collapsed="false">
      <c r="A18" s="43" t="s">
        <v>208</v>
      </c>
      <c r="B18" s="44" t="n">
        <v>46279</v>
      </c>
      <c r="C18" s="43" t="s">
        <v>34</v>
      </c>
      <c r="D18" s="43" t="s">
        <v>180</v>
      </c>
    </row>
    <row r="19" customFormat="false" ht="15" hidden="false" customHeight="false" outlineLevel="0" collapsed="false">
      <c r="A19" s="45" t="s">
        <v>209</v>
      </c>
      <c r="B19" s="46" t="n">
        <v>46295</v>
      </c>
      <c r="C19" s="45" t="s">
        <v>169</v>
      </c>
      <c r="D19" s="45" t="s">
        <v>170</v>
      </c>
    </row>
    <row r="20" customFormat="false" ht="15" hidden="false" customHeight="false" outlineLevel="0" collapsed="false">
      <c r="A20" s="47" t="s">
        <v>210</v>
      </c>
      <c r="B20" s="48" t="n">
        <v>46296</v>
      </c>
      <c r="C20" s="47" t="s">
        <v>34</v>
      </c>
      <c r="D20" s="47" t="s">
        <v>43</v>
      </c>
    </row>
    <row r="21" customFormat="false" ht="15" hidden="false" customHeight="false" outlineLevel="0" collapsed="false">
      <c r="A21" s="45" t="s">
        <v>211</v>
      </c>
      <c r="B21" s="46" t="n">
        <v>46313</v>
      </c>
      <c r="C21" s="45" t="s">
        <v>34</v>
      </c>
      <c r="D21" s="45" t="s">
        <v>149</v>
      </c>
    </row>
    <row r="22" customFormat="false" ht="15" hidden="false" customHeight="false" outlineLevel="0" collapsed="false">
      <c r="A22" s="43" t="s">
        <v>212</v>
      </c>
      <c r="B22" s="44" t="n">
        <v>46325</v>
      </c>
      <c r="C22" s="43" t="s">
        <v>169</v>
      </c>
      <c r="D22" s="43" t="s">
        <v>43</v>
      </c>
    </row>
    <row r="23" customFormat="false" ht="15" hidden="false" customHeight="false" outlineLevel="0" collapsed="false">
      <c r="A23" s="45" t="s">
        <v>186</v>
      </c>
      <c r="B23" s="46" t="n">
        <v>46332</v>
      </c>
      <c r="C23" s="45" t="s">
        <v>29</v>
      </c>
      <c r="D23" s="45" t="s">
        <v>71</v>
      </c>
    </row>
    <row r="25" customFormat="false" ht="15" hidden="false" customHeight="false" outlineLevel="0" collapsed="false">
      <c r="A25" s="49" t="s">
        <v>213</v>
      </c>
      <c r="B25" s="50" t="n">
        <f aca="true">DATE(2026,10,1)-TODAY()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2026-08-05T13:06:08Z</dcterms:created>
  <dc:creator>openpyxl</dc:creator>
  <dc:description/>
  <dc:language>en-US</dc:language>
  <cp:lastModifiedBy/>
  <dcterms:modified xsi:type="dcterms:W3CDTF">2026-08-05T13:06:08Z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